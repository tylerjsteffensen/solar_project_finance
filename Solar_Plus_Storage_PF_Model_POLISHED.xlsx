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f01243c7eb800d8/Documents/Energy Analyst Projects/Solar Project Finance Model/"/>
    </mc:Choice>
  </mc:AlternateContent>
  <xr:revisionPtr revIDLastSave="1259" documentId="8_{46FAF02B-63ED-4342-9651-20A963D2292F}" xr6:coauthVersionLast="47" xr6:coauthVersionMax="47" xr10:uidLastSave="{10B850D1-0ABD-4F07-8F36-0FE48E221CF7}"/>
  <bookViews>
    <workbookView xWindow="12570" yWindow="0" windowWidth="25920" windowHeight="20970" tabRatio="500" firstSheet="1" activeTab="1" xr2:uid="{00000000-000D-0000-FFFF-FFFF00000000}"/>
  </bookViews>
  <sheets>
    <sheet name="Project" sheetId="2" r:id="rId1"/>
    <sheet name="Inputs" sheetId="3" r:id="rId2"/>
    <sheet name="Energy" sheetId="4" r:id="rId3"/>
    <sheet name="Revenue" sheetId="5" r:id="rId4"/>
    <sheet name="Costs" sheetId="6" r:id="rId5"/>
    <sheet name="Debt" sheetId="7" r:id="rId6"/>
    <sheet name="Tax" sheetId="8" r:id="rId7"/>
    <sheet name="Cashflows" sheetId="9" r:id="rId8"/>
    <sheet name="LCOE" sheetId="10" r:id="rId9"/>
    <sheet name="Sensitivities" sheetId="11" r:id="rId10"/>
    <sheet name="Outputs" sheetId="1" r:id="rId1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6" i="1" l="1"/>
  <c r="C135" i="1"/>
  <c r="C105" i="1"/>
  <c r="C104" i="1"/>
  <c r="C113" i="1"/>
  <c r="C116" i="1"/>
  <c r="C134" i="1"/>
  <c r="C133" i="1"/>
  <c r="C132" i="1"/>
  <c r="C131" i="1"/>
  <c r="C129" i="1"/>
  <c r="C128" i="1"/>
  <c r="C127" i="1"/>
  <c r="D126" i="1"/>
  <c r="D125" i="1"/>
  <c r="C125" i="1"/>
  <c r="C123" i="1"/>
  <c r="C122" i="1"/>
  <c r="C121" i="1"/>
  <c r="C120" i="1"/>
  <c r="C119" i="1"/>
  <c r="C118" i="1"/>
  <c r="C117" i="1"/>
  <c r="C115" i="1"/>
  <c r="C112" i="1"/>
  <c r="C111" i="1"/>
  <c r="C110" i="1"/>
  <c r="C108" i="1"/>
  <c r="C107" i="1"/>
  <c r="C106" i="1"/>
  <c r="C103" i="1"/>
  <c r="C102" i="1"/>
  <c r="E96" i="1"/>
  <c r="C96" i="1"/>
  <c r="C50" i="8"/>
  <c r="C35" i="10" l="1"/>
  <c r="C24" i="10"/>
  <c r="C16" i="10"/>
  <c r="C25" i="9"/>
  <c r="C32" i="9" s="1"/>
  <c r="C34" i="9" s="1"/>
  <c r="C9" i="9"/>
  <c r="C11" i="9" s="1"/>
  <c r="C12" i="9" s="1"/>
  <c r="AF62" i="8"/>
  <c r="AG13" i="9" s="1"/>
  <c r="AE62" i="8"/>
  <c r="AE39" i="7" s="1"/>
  <c r="AD62" i="8"/>
  <c r="AD39" i="7" s="1"/>
  <c r="AC62" i="8"/>
  <c r="AC36" i="7" s="1"/>
  <c r="AB62" i="8"/>
  <c r="AA62" i="8"/>
  <c r="Z62" i="8"/>
  <c r="Z39" i="7" s="1"/>
  <c r="Y62" i="8"/>
  <c r="Y39" i="7" s="1"/>
  <c r="X62" i="8"/>
  <c r="X39" i="7" s="1"/>
  <c r="W62" i="8"/>
  <c r="V62" i="8"/>
  <c r="U62" i="8"/>
  <c r="V31" i="9" s="1"/>
  <c r="T62" i="8"/>
  <c r="U31" i="9" s="1"/>
  <c r="S62" i="8"/>
  <c r="T31" i="9" s="1"/>
  <c r="R62" i="8"/>
  <c r="S31" i="9" s="1"/>
  <c r="Q62" i="8"/>
  <c r="R31" i="9" s="1"/>
  <c r="P62" i="8"/>
  <c r="Q27" i="9" s="1"/>
  <c r="O62" i="8"/>
  <c r="P13" i="9" s="1"/>
  <c r="N62" i="8"/>
  <c r="O13" i="9" s="1"/>
  <c r="M62" i="8"/>
  <c r="N13" i="9" s="1"/>
  <c r="L62" i="8"/>
  <c r="M13" i="9" s="1"/>
  <c r="K62" i="8"/>
  <c r="K36" i="7" s="1"/>
  <c r="J62" i="8"/>
  <c r="J36" i="7" s="1"/>
  <c r="I62" i="8"/>
  <c r="I36" i="7" s="1"/>
  <c r="G38" i="8"/>
  <c r="F38" i="8"/>
  <c r="E38" i="8"/>
  <c r="D38" i="8"/>
  <c r="C38" i="8"/>
  <c r="G29" i="8"/>
  <c r="F29" i="8"/>
  <c r="E29" i="8"/>
  <c r="D29" i="8"/>
  <c r="C29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F22" i="8"/>
  <c r="AE22" i="8"/>
  <c r="AD22" i="8"/>
  <c r="AC22" i="8"/>
  <c r="AB22" i="8"/>
  <c r="AA22" i="8"/>
  <c r="Z22" i="8"/>
  <c r="Z24" i="8" s="1"/>
  <c r="Z65" i="8" s="1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C9" i="8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C22" i="7"/>
  <c r="C9" i="7"/>
  <c r="C8" i="7"/>
  <c r="C7" i="7"/>
  <c r="C5" i="7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J46" i="5" s="1"/>
  <c r="I45" i="5"/>
  <c r="I46" i="5" s="1"/>
  <c r="H45" i="5"/>
  <c r="H46" i="5" s="1"/>
  <c r="G45" i="5"/>
  <c r="F45" i="5"/>
  <c r="E45" i="5"/>
  <c r="D45" i="5"/>
  <c r="C45" i="5"/>
  <c r="AF44" i="5"/>
  <c r="AF46" i="5" s="1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F40" i="5"/>
  <c r="AE40" i="5"/>
  <c r="AD40" i="5"/>
  <c r="AC40" i="5"/>
  <c r="AB40" i="5"/>
  <c r="AA40" i="5"/>
  <c r="Z40" i="5"/>
  <c r="Y40" i="5"/>
  <c r="X40" i="5"/>
  <c r="W40" i="5"/>
  <c r="W41" i="5" s="1"/>
  <c r="W43" i="5" s="1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P41" i="5" s="1"/>
  <c r="P43" i="5" s="1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F33" i="5"/>
  <c r="AE33" i="5"/>
  <c r="AD33" i="5"/>
  <c r="AC33" i="5"/>
  <c r="AB33" i="5"/>
  <c r="AA33" i="5"/>
  <c r="Z33" i="5"/>
  <c r="Y33" i="5"/>
  <c r="Y35" i="5" s="1"/>
  <c r="X33" i="5"/>
  <c r="X35" i="5" s="1"/>
  <c r="W33" i="5"/>
  <c r="W35" i="5" s="1"/>
  <c r="V33" i="5"/>
  <c r="V35" i="5" s="1"/>
  <c r="U33" i="5"/>
  <c r="U35" i="5" s="1"/>
  <c r="T33" i="5"/>
  <c r="T35" i="5" s="1"/>
  <c r="S33" i="5"/>
  <c r="S35" i="5" s="1"/>
  <c r="R33" i="5"/>
  <c r="R35" i="5" s="1"/>
  <c r="Q33" i="5"/>
  <c r="P33" i="5"/>
  <c r="P35" i="5" s="1"/>
  <c r="O33" i="5"/>
  <c r="O35" i="5" s="1"/>
  <c r="N33" i="5"/>
  <c r="M33" i="5"/>
  <c r="L33" i="5"/>
  <c r="K33" i="5"/>
  <c r="J33" i="5"/>
  <c r="I33" i="5"/>
  <c r="H33" i="5"/>
  <c r="G33" i="5"/>
  <c r="F33" i="5"/>
  <c r="E33" i="5"/>
  <c r="E35" i="5" s="1"/>
  <c r="D33" i="5"/>
  <c r="D35" i="5" s="1"/>
  <c r="C33" i="5"/>
  <c r="C35" i="5" s="1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F20" i="5"/>
  <c r="AF22" i="5" s="1"/>
  <c r="AF24" i="5" s="1"/>
  <c r="AE20" i="5"/>
  <c r="AE22" i="5" s="1"/>
  <c r="AE24" i="5" s="1"/>
  <c r="AD20" i="5"/>
  <c r="AD22" i="5" s="1"/>
  <c r="AD24" i="5" s="1"/>
  <c r="AC20" i="5"/>
  <c r="AB20" i="5"/>
  <c r="AA20" i="5"/>
  <c r="Z20" i="5"/>
  <c r="Z22" i="5" s="1"/>
  <c r="Z24" i="5" s="1"/>
  <c r="Y20" i="5"/>
  <c r="Y22" i="5" s="1"/>
  <c r="Y24" i="5" s="1"/>
  <c r="X20" i="5"/>
  <c r="W20" i="5"/>
  <c r="V20" i="5"/>
  <c r="U20" i="5"/>
  <c r="T20" i="5"/>
  <c r="S20" i="5"/>
  <c r="R20" i="5"/>
  <c r="Q20" i="5"/>
  <c r="Q22" i="5" s="1"/>
  <c r="Q24" i="5" s="1"/>
  <c r="P20" i="5"/>
  <c r="P22" i="5" s="1"/>
  <c r="P24" i="5" s="1"/>
  <c r="O20" i="5"/>
  <c r="O22" i="5" s="1"/>
  <c r="N20" i="5"/>
  <c r="N22" i="5" s="1"/>
  <c r="N24" i="5" s="1"/>
  <c r="M20" i="5"/>
  <c r="M22" i="5" s="1"/>
  <c r="M24" i="5" s="1"/>
  <c r="L20" i="5"/>
  <c r="L22" i="5" s="1"/>
  <c r="L24" i="5" s="1"/>
  <c r="K20" i="5"/>
  <c r="K22" i="5" s="1"/>
  <c r="K24" i="5" s="1"/>
  <c r="J20" i="5"/>
  <c r="J22" i="5" s="1"/>
  <c r="J24" i="5" s="1"/>
  <c r="I20" i="5"/>
  <c r="H20" i="5"/>
  <c r="G20" i="5"/>
  <c r="F20" i="5"/>
  <c r="E20" i="5"/>
  <c r="D20" i="5"/>
  <c r="C20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F17" i="5"/>
  <c r="AE17" i="5"/>
  <c r="AD17" i="5"/>
  <c r="AC17" i="5"/>
  <c r="AB17" i="5"/>
  <c r="AA17" i="5"/>
  <c r="AA19" i="5" s="1"/>
  <c r="Z17" i="5"/>
  <c r="Z19" i="5" s="1"/>
  <c r="Y17" i="5"/>
  <c r="Y19" i="5" s="1"/>
  <c r="X17" i="5"/>
  <c r="X19" i="5" s="1"/>
  <c r="W17" i="5"/>
  <c r="W19" i="5" s="1"/>
  <c r="V17" i="5"/>
  <c r="V19" i="5" s="1"/>
  <c r="U17" i="5"/>
  <c r="U19" i="5" s="1"/>
  <c r="T17" i="5"/>
  <c r="T19" i="5" s="1"/>
  <c r="S17" i="5"/>
  <c r="S19" i="5" s="1"/>
  <c r="R17" i="5"/>
  <c r="R19" i="5" s="1"/>
  <c r="Q17" i="5"/>
  <c r="Q19" i="5" s="1"/>
  <c r="P17" i="5"/>
  <c r="P19" i="5" s="1"/>
  <c r="O17" i="5"/>
  <c r="O19" i="5" s="1"/>
  <c r="N17" i="5"/>
  <c r="M17" i="5"/>
  <c r="L17" i="5"/>
  <c r="K17" i="5"/>
  <c r="J17" i="5"/>
  <c r="I17" i="5"/>
  <c r="H17" i="5"/>
  <c r="G17" i="5"/>
  <c r="G19" i="5" s="1"/>
  <c r="F17" i="5"/>
  <c r="E17" i="5"/>
  <c r="E19" i="5" s="1"/>
  <c r="D17" i="5"/>
  <c r="D19" i="5" s="1"/>
  <c r="C17" i="5"/>
  <c r="C19" i="5" s="1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F8" i="5"/>
  <c r="AF10" i="5" s="1"/>
  <c r="AE8" i="5"/>
  <c r="AE10" i="5" s="1"/>
  <c r="AD8" i="5"/>
  <c r="AD10" i="5" s="1"/>
  <c r="AC8" i="5"/>
  <c r="AC10" i="5" s="1"/>
  <c r="AB8" i="5"/>
  <c r="AB10" i="5" s="1"/>
  <c r="AA8" i="5"/>
  <c r="AA10" i="5" s="1"/>
  <c r="Z8" i="5"/>
  <c r="Z10" i="5" s="1"/>
  <c r="Y8" i="5"/>
  <c r="Y10" i="5" s="1"/>
  <c r="X8" i="5"/>
  <c r="X10" i="5" s="1"/>
  <c r="W8" i="5"/>
  <c r="W10" i="5" s="1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F5" i="5"/>
  <c r="AE5" i="5"/>
  <c r="AD5" i="5"/>
  <c r="AC5" i="5"/>
  <c r="AB5" i="5"/>
  <c r="AA5" i="5"/>
  <c r="Z5" i="5"/>
  <c r="Y5" i="5"/>
  <c r="X5" i="5"/>
  <c r="W5" i="5"/>
  <c r="W7" i="5" s="1"/>
  <c r="V5" i="5"/>
  <c r="V7" i="5" s="1"/>
  <c r="V10" i="5" s="1"/>
  <c r="U5" i="5"/>
  <c r="U7" i="5" s="1"/>
  <c r="U10" i="5" s="1"/>
  <c r="T5" i="5"/>
  <c r="T7" i="5" s="1"/>
  <c r="T10" i="5" s="1"/>
  <c r="S5" i="5"/>
  <c r="S7" i="5" s="1"/>
  <c r="S10" i="5" s="1"/>
  <c r="R5" i="5"/>
  <c r="Q5" i="5"/>
  <c r="Q7" i="5" s="1"/>
  <c r="Q10" i="5" s="1"/>
  <c r="P5" i="5"/>
  <c r="P7" i="5" s="1"/>
  <c r="P10" i="5" s="1"/>
  <c r="O5" i="5"/>
  <c r="O7" i="5" s="1"/>
  <c r="O10" i="5" s="1"/>
  <c r="N5" i="5"/>
  <c r="N7" i="5" s="1"/>
  <c r="N10" i="5" s="1"/>
  <c r="M5" i="5"/>
  <c r="L5" i="5"/>
  <c r="K5" i="5"/>
  <c r="J5" i="5"/>
  <c r="I5" i="5"/>
  <c r="H5" i="5"/>
  <c r="G5" i="5"/>
  <c r="F5" i="5"/>
  <c r="E5" i="5"/>
  <c r="D5" i="5"/>
  <c r="C5" i="5"/>
  <c r="C7" i="5" s="1"/>
  <c r="C10" i="5" s="1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D96" i="3"/>
  <c r="D97" i="3" s="1"/>
  <c r="D87" i="3"/>
  <c r="D82" i="3"/>
  <c r="D80" i="3"/>
  <c r="D48" i="3"/>
  <c r="D18" i="3"/>
  <c r="AF18" i="6"/>
  <c r="AE18" i="6"/>
  <c r="AD18" i="6"/>
  <c r="AD24" i="6" s="1"/>
  <c r="AC18" i="6"/>
  <c r="AC20" i="6" s="1"/>
  <c r="AB18" i="6"/>
  <c r="AB24" i="6" s="1"/>
  <c r="AA18" i="6"/>
  <c r="AA24" i="6" s="1"/>
  <c r="Z18" i="6"/>
  <c r="Z24" i="6" s="1"/>
  <c r="Y18" i="6"/>
  <c r="Y24" i="6" s="1"/>
  <c r="X18" i="6"/>
  <c r="X24" i="6" s="1"/>
  <c r="W18" i="6"/>
  <c r="V18" i="6"/>
  <c r="U18" i="6"/>
  <c r="T18" i="6"/>
  <c r="S18" i="6"/>
  <c r="R18" i="6"/>
  <c r="Q18" i="6"/>
  <c r="P18" i="6"/>
  <c r="O18" i="6"/>
  <c r="O20" i="6" s="1"/>
  <c r="N18" i="6"/>
  <c r="M18" i="6"/>
  <c r="L18" i="6"/>
  <c r="K18" i="6"/>
  <c r="J18" i="6"/>
  <c r="I18" i="6"/>
  <c r="H18" i="6"/>
  <c r="G18" i="6"/>
  <c r="F18" i="6"/>
  <c r="E18" i="6"/>
  <c r="E24" i="6" s="1"/>
  <c r="D18" i="6"/>
  <c r="D24" i="6" s="1"/>
  <c r="C18" i="6"/>
  <c r="C12" i="6"/>
  <c r="C8" i="6"/>
  <c r="C7" i="6"/>
  <c r="C5" i="6"/>
  <c r="C4" i="6"/>
  <c r="X24" i="8" l="1"/>
  <c r="X65" i="8" s="1"/>
  <c r="W24" i="8"/>
  <c r="W65" i="8" s="1"/>
  <c r="U41" i="5"/>
  <c r="U43" i="5" s="1"/>
  <c r="S41" i="5"/>
  <c r="S43" i="5" s="1"/>
  <c r="J41" i="5"/>
  <c r="J43" i="5" s="1"/>
  <c r="J47" i="5" s="1"/>
  <c r="G41" i="5"/>
  <c r="G43" i="5" s="1"/>
  <c r="E41" i="5"/>
  <c r="E43" i="5" s="1"/>
  <c r="E47" i="5" s="1"/>
  <c r="G35" i="5"/>
  <c r="G36" i="5" s="1"/>
  <c r="AA22" i="5"/>
  <c r="AA24" i="5" s="1"/>
  <c r="L14" i="4"/>
  <c r="H14" i="4"/>
  <c r="T41" i="5"/>
  <c r="T43" i="5" s="1"/>
  <c r="T47" i="5" s="1"/>
  <c r="O41" i="5"/>
  <c r="O43" i="5" s="1"/>
  <c r="I41" i="5"/>
  <c r="I43" i="5" s="1"/>
  <c r="I47" i="5" s="1"/>
  <c r="H41" i="5"/>
  <c r="H43" i="5" s="1"/>
  <c r="H47" i="5" s="1"/>
  <c r="F41" i="5"/>
  <c r="F43" i="5" s="1"/>
  <c r="F47" i="5" s="1"/>
  <c r="D41" i="5"/>
  <c r="D43" i="5" s="1"/>
  <c r="Y36" i="5"/>
  <c r="AE14" i="4"/>
  <c r="J14" i="4"/>
  <c r="C23" i="7"/>
  <c r="E22" i="5"/>
  <c r="E24" i="5" s="1"/>
  <c r="F19" i="5"/>
  <c r="AD14" i="4"/>
  <c r="M14" i="4"/>
  <c r="I14" i="4"/>
  <c r="N46" i="5"/>
  <c r="M46" i="5"/>
  <c r="L46" i="5"/>
  <c r="K46" i="5"/>
  <c r="E46" i="5"/>
  <c r="AD41" i="5"/>
  <c r="AD43" i="5" s="1"/>
  <c r="AC41" i="5"/>
  <c r="AC43" i="5" s="1"/>
  <c r="AC47" i="5" s="1"/>
  <c r="Z41" i="5"/>
  <c r="Z43" i="5" s="1"/>
  <c r="Z47" i="5" s="1"/>
  <c r="Y41" i="5"/>
  <c r="Y43" i="5" s="1"/>
  <c r="Y47" i="5" s="1"/>
  <c r="K14" i="4"/>
  <c r="G14" i="4"/>
  <c r="AC14" i="4"/>
  <c r="P5" i="4"/>
  <c r="P6" i="4" s="1"/>
  <c r="P7" i="4" s="1"/>
  <c r="C26" i="10"/>
  <c r="C27" i="10" s="1"/>
  <c r="C95" i="1"/>
  <c r="E95" i="1" s="1"/>
  <c r="Z24" i="7"/>
  <c r="AA24" i="7"/>
  <c r="Y24" i="7"/>
  <c r="W24" i="7"/>
  <c r="V24" i="7"/>
  <c r="U24" i="7"/>
  <c r="C10" i="7"/>
  <c r="C64" i="1"/>
  <c r="C7" i="8"/>
  <c r="C126" i="1"/>
  <c r="V18" i="8"/>
  <c r="Q18" i="8"/>
  <c r="Q20" i="8" s="1"/>
  <c r="R18" i="8"/>
  <c r="R20" i="8" s="1"/>
  <c r="S18" i="8"/>
  <c r="S20" i="8" s="1"/>
  <c r="P3" i="4"/>
  <c r="T3" i="4"/>
  <c r="T5" i="4" s="1"/>
  <c r="T6" i="4" s="1"/>
  <c r="T7" i="4" s="1"/>
  <c r="S3" i="4"/>
  <c r="S5" i="4" s="1"/>
  <c r="S6" i="4" s="1"/>
  <c r="S7" i="4" s="1"/>
  <c r="R3" i="4"/>
  <c r="R5" i="4" s="1"/>
  <c r="Q3" i="4"/>
  <c r="Q5" i="4" s="1"/>
  <c r="Q6" i="4" s="1"/>
  <c r="Q7" i="4" s="1"/>
  <c r="O3" i="4"/>
  <c r="O5" i="4" s="1"/>
  <c r="O6" i="4" s="1"/>
  <c r="O7" i="4" s="1"/>
  <c r="J3" i="4"/>
  <c r="J5" i="4" s="1"/>
  <c r="J6" i="4" s="1"/>
  <c r="J7" i="4" s="1"/>
  <c r="I3" i="4"/>
  <c r="I5" i="4" s="1"/>
  <c r="H3" i="4"/>
  <c r="F3" i="4"/>
  <c r="F5" i="4" s="1"/>
  <c r="E3" i="4"/>
  <c r="D3" i="4"/>
  <c r="C3" i="4"/>
  <c r="C5" i="4" s="1"/>
  <c r="B3" i="4"/>
  <c r="AD3" i="4"/>
  <c r="AC3" i="4"/>
  <c r="AB3" i="4"/>
  <c r="Z3" i="4"/>
  <c r="Z5" i="4" s="1"/>
  <c r="Z6" i="4" s="1"/>
  <c r="Y3" i="4"/>
  <c r="Y5" i="4" s="1"/>
  <c r="Y6" i="4" s="1"/>
  <c r="X3" i="4"/>
  <c r="X5" i="4" s="1"/>
  <c r="X6" i="4" s="1"/>
  <c r="W3" i="4"/>
  <c r="W5" i="4" s="1"/>
  <c r="W6" i="4" s="1"/>
  <c r="V3" i="4"/>
  <c r="V5" i="4" s="1"/>
  <c r="U3" i="4"/>
  <c r="U5" i="4" s="1"/>
  <c r="AE20" i="6"/>
  <c r="AE24" i="6"/>
  <c r="W24" i="6"/>
  <c r="W23" i="6"/>
  <c r="V24" i="6"/>
  <c r="V23" i="6"/>
  <c r="U24" i="6"/>
  <c r="U23" i="6"/>
  <c r="T24" i="6"/>
  <c r="T23" i="6"/>
  <c r="S24" i="6"/>
  <c r="S23" i="6"/>
  <c r="R24" i="6"/>
  <c r="R23" i="6"/>
  <c r="Q24" i="6"/>
  <c r="Q21" i="6"/>
  <c r="Q23" i="6"/>
  <c r="P24" i="6"/>
  <c r="P23" i="6"/>
  <c r="P19" i="6"/>
  <c r="C24" i="6"/>
  <c r="C23" i="6"/>
  <c r="C21" i="6"/>
  <c r="C19" i="6"/>
  <c r="C5" i="8"/>
  <c r="C30" i="1"/>
  <c r="C4" i="8"/>
  <c r="C28" i="1"/>
  <c r="C27" i="1"/>
  <c r="C26" i="1"/>
  <c r="C6" i="6"/>
  <c r="C9" i="6" s="1"/>
  <c r="C25" i="1"/>
  <c r="L13" i="9"/>
  <c r="M10" i="9"/>
  <c r="Y24" i="8"/>
  <c r="Y65" i="8" s="1"/>
  <c r="AF13" i="9"/>
  <c r="T27" i="9"/>
  <c r="T24" i="8"/>
  <c r="T65" i="8" s="1"/>
  <c r="U24" i="8"/>
  <c r="U65" i="8" s="1"/>
  <c r="S24" i="8"/>
  <c r="S65" i="8" s="1"/>
  <c r="V24" i="8"/>
  <c r="V65" i="8" s="1"/>
  <c r="U27" i="9"/>
  <c r="AD36" i="7"/>
  <c r="AE36" i="7"/>
  <c r="K39" i="7"/>
  <c r="J39" i="7"/>
  <c r="AF36" i="7"/>
  <c r="I39" i="7"/>
  <c r="AG27" i="9"/>
  <c r="L39" i="7"/>
  <c r="AF39" i="7"/>
  <c r="AC39" i="7"/>
  <c r="K31" i="9"/>
  <c r="L31" i="9"/>
  <c r="AA27" i="9"/>
  <c r="L36" i="7"/>
  <c r="AB5" i="4"/>
  <c r="AD5" i="4"/>
  <c r="AD6" i="4" s="1"/>
  <c r="E5" i="4"/>
  <c r="AC5" i="4"/>
  <c r="C28" i="9"/>
  <c r="AA24" i="8"/>
  <c r="AA65" i="8" s="1"/>
  <c r="S27" i="9"/>
  <c r="V27" i="9"/>
  <c r="N10" i="9"/>
  <c r="AB24" i="8"/>
  <c r="AB65" i="8" s="1"/>
  <c r="M39" i="7"/>
  <c r="V10" i="9"/>
  <c r="M31" i="9"/>
  <c r="AA10" i="9"/>
  <c r="N31" i="9"/>
  <c r="AG10" i="9"/>
  <c r="M36" i="7"/>
  <c r="S39" i="7"/>
  <c r="P36" i="7"/>
  <c r="T39" i="7"/>
  <c r="AC24" i="8"/>
  <c r="AC65" i="8" s="1"/>
  <c r="V13" i="9"/>
  <c r="N39" i="7"/>
  <c r="AE24" i="8"/>
  <c r="AE65" i="8" s="1"/>
  <c r="O31" i="9"/>
  <c r="S36" i="7"/>
  <c r="AF24" i="8"/>
  <c r="AF65" i="8" s="1"/>
  <c r="P31" i="9"/>
  <c r="T13" i="9"/>
  <c r="T36" i="7"/>
  <c r="O10" i="9"/>
  <c r="Q31" i="9"/>
  <c r="U39" i="7"/>
  <c r="R36" i="7"/>
  <c r="U36" i="7"/>
  <c r="N24" i="8"/>
  <c r="N65" i="8" s="1"/>
  <c r="P10" i="9"/>
  <c r="M27" i="9"/>
  <c r="R13" i="9"/>
  <c r="Q39" i="7"/>
  <c r="Q36" i="7"/>
  <c r="AD24" i="8"/>
  <c r="AD65" i="8" s="1"/>
  <c r="O24" i="8"/>
  <c r="O65" i="8" s="1"/>
  <c r="R10" i="9"/>
  <c r="N27" i="9"/>
  <c r="AG31" i="9"/>
  <c r="R39" i="7"/>
  <c r="V20" i="8"/>
  <c r="P24" i="8"/>
  <c r="P65" i="8" s="1"/>
  <c r="S10" i="9"/>
  <c r="O27" i="9"/>
  <c r="O39" i="7"/>
  <c r="S13" i="9"/>
  <c r="N36" i="7"/>
  <c r="O36" i="7"/>
  <c r="U13" i="9"/>
  <c r="Q24" i="8"/>
  <c r="Q65" i="8" s="1"/>
  <c r="T10" i="9"/>
  <c r="P27" i="9"/>
  <c r="R24" i="8"/>
  <c r="R65" i="8" s="1"/>
  <c r="U10" i="9"/>
  <c r="R27" i="9"/>
  <c r="D5" i="4"/>
  <c r="D6" i="4" s="1"/>
  <c r="D7" i="4" s="1"/>
  <c r="H5" i="4"/>
  <c r="H6" i="4" s="1"/>
  <c r="H7" i="4" s="1"/>
  <c r="E23" i="6"/>
  <c r="D19" i="6"/>
  <c r="D21" i="6"/>
  <c r="E19" i="6"/>
  <c r="E21" i="6"/>
  <c r="X21" i="6"/>
  <c r="Y19" i="6"/>
  <c r="R19" i="6"/>
  <c r="R21" i="6"/>
  <c r="Y23" i="6"/>
  <c r="Z20" i="6"/>
  <c r="P21" i="6"/>
  <c r="S19" i="6"/>
  <c r="S21" i="6"/>
  <c r="Y21" i="6"/>
  <c r="AA20" i="6"/>
  <c r="AB20" i="6"/>
  <c r="T19" i="6"/>
  <c r="T21" i="6"/>
  <c r="X23" i="6"/>
  <c r="U19" i="6"/>
  <c r="U21" i="6"/>
  <c r="X19" i="6"/>
  <c r="AD20" i="6"/>
  <c r="V19" i="6"/>
  <c r="V21" i="6"/>
  <c r="AC24" i="6"/>
  <c r="D23" i="6"/>
  <c r="Q19" i="6"/>
  <c r="W19" i="6"/>
  <c r="W21" i="6"/>
  <c r="O36" i="5"/>
  <c r="D7" i="5"/>
  <c r="D10" i="5" s="1"/>
  <c r="X7" i="5"/>
  <c r="H19" i="5"/>
  <c r="AB19" i="5"/>
  <c r="F35" i="5"/>
  <c r="F36" i="5" s="1"/>
  <c r="Z35" i="5"/>
  <c r="Z36" i="5" s="1"/>
  <c r="K41" i="5"/>
  <c r="AE41" i="5"/>
  <c r="V46" i="5"/>
  <c r="I19" i="5"/>
  <c r="AC19" i="5"/>
  <c r="AA35" i="5"/>
  <c r="AA36" i="5" s="1"/>
  <c r="Q35" i="5"/>
  <c r="Q36" i="5" s="1"/>
  <c r="V41" i="5"/>
  <c r="V43" i="5" s="1"/>
  <c r="V47" i="5" s="1"/>
  <c r="L41" i="5"/>
  <c r="AF41" i="5"/>
  <c r="C46" i="5"/>
  <c r="W46" i="5"/>
  <c r="H7" i="5"/>
  <c r="H10" i="5" s="1"/>
  <c r="AB7" i="5"/>
  <c r="L19" i="5"/>
  <c r="AF19" i="5"/>
  <c r="F46" i="5"/>
  <c r="Z46" i="5"/>
  <c r="J19" i="5"/>
  <c r="D46" i="5"/>
  <c r="AE19" i="5"/>
  <c r="I35" i="5"/>
  <c r="I36" i="5" s="1"/>
  <c r="X41" i="5"/>
  <c r="X43" i="5" s="1"/>
  <c r="I7" i="5"/>
  <c r="I10" i="5" s="1"/>
  <c r="AC7" i="5"/>
  <c r="M19" i="5"/>
  <c r="G46" i="5"/>
  <c r="AA46" i="5"/>
  <c r="Q46" i="5"/>
  <c r="AB35" i="5"/>
  <c r="AB36" i="5" s="1"/>
  <c r="J7" i="5"/>
  <c r="J10" i="5" s="1"/>
  <c r="AD7" i="5"/>
  <c r="F22" i="5"/>
  <c r="F24" i="5" s="1"/>
  <c r="Q41" i="5"/>
  <c r="Q43" i="5" s="1"/>
  <c r="Q47" i="5" s="1"/>
  <c r="AB46" i="5"/>
  <c r="R46" i="5"/>
  <c r="F7" i="5"/>
  <c r="F10" i="5" s="1"/>
  <c r="Z7" i="5"/>
  <c r="AD19" i="5"/>
  <c r="M41" i="5"/>
  <c r="G7" i="5"/>
  <c r="G10" i="5" s="1"/>
  <c r="K19" i="5"/>
  <c r="AC35" i="5"/>
  <c r="AC36" i="5" s="1"/>
  <c r="N41" i="5"/>
  <c r="N43" i="5" s="1"/>
  <c r="Y46" i="5"/>
  <c r="K7" i="5"/>
  <c r="K10" i="5" s="1"/>
  <c r="AE7" i="5"/>
  <c r="G22" i="5"/>
  <c r="G24" i="5" s="1"/>
  <c r="R41" i="5"/>
  <c r="R43" i="5" s="1"/>
  <c r="AC46" i="5"/>
  <c r="H35" i="5"/>
  <c r="H36" i="5" s="1"/>
  <c r="C41" i="5"/>
  <c r="C43" i="5" s="1"/>
  <c r="C47" i="5" s="1"/>
  <c r="X46" i="5"/>
  <c r="S36" i="5"/>
  <c r="L7" i="5"/>
  <c r="L10" i="5" s="1"/>
  <c r="AF7" i="5"/>
  <c r="H22" i="5"/>
  <c r="H24" i="5" s="1"/>
  <c r="AB22" i="5"/>
  <c r="AB24" i="5" s="1"/>
  <c r="R22" i="5"/>
  <c r="R24" i="5" s="1"/>
  <c r="AD46" i="5"/>
  <c r="AA7" i="5"/>
  <c r="M7" i="5"/>
  <c r="M10" i="5" s="1"/>
  <c r="I22" i="5"/>
  <c r="I24" i="5" s="1"/>
  <c r="AC22" i="5"/>
  <c r="AC24" i="5" s="1"/>
  <c r="AE46" i="5"/>
  <c r="N14" i="4"/>
  <c r="O14" i="4"/>
  <c r="P14" i="4"/>
  <c r="Q14" i="4"/>
  <c r="R14" i="4"/>
  <c r="S14" i="4"/>
  <c r="T14" i="4"/>
  <c r="U14" i="4"/>
  <c r="B5" i="4"/>
  <c r="V14" i="4"/>
  <c r="C14" i="4"/>
  <c r="W14" i="4"/>
  <c r="AA14" i="4"/>
  <c r="AB14" i="4"/>
  <c r="B14" i="4"/>
  <c r="R7" i="5"/>
  <c r="R10" i="5" s="1"/>
  <c r="M23" i="6"/>
  <c r="M21" i="6"/>
  <c r="M19" i="6"/>
  <c r="N23" i="6"/>
  <c r="N21" i="6"/>
  <c r="N19" i="6"/>
  <c r="O23" i="6"/>
  <c r="O21" i="6"/>
  <c r="O19" i="6"/>
  <c r="L23" i="6"/>
  <c r="L21" i="6"/>
  <c r="L19" i="6"/>
  <c r="F6" i="4"/>
  <c r="F7" i="4"/>
  <c r="AD7" i="4"/>
  <c r="E6" i="4"/>
  <c r="E7" i="4" s="1"/>
  <c r="K36" i="5"/>
  <c r="U6" i="4"/>
  <c r="U7" i="4" s="1"/>
  <c r="AF23" i="6"/>
  <c r="AF21" i="6"/>
  <c r="AF19" i="6"/>
  <c r="AF24" i="6"/>
  <c r="AF20" i="6"/>
  <c r="M24" i="6"/>
  <c r="N24" i="6"/>
  <c r="L24" i="6"/>
  <c r="V6" i="4"/>
  <c r="V7" i="4"/>
  <c r="L20" i="6"/>
  <c r="O24" i="6"/>
  <c r="C6" i="4"/>
  <c r="C7" i="4" s="1"/>
  <c r="M20" i="6"/>
  <c r="AB6" i="4"/>
  <c r="AB7" i="4" s="1"/>
  <c r="N20" i="6"/>
  <c r="AC6" i="4"/>
  <c r="AC7" i="4" s="1"/>
  <c r="D14" i="4"/>
  <c r="X14" i="4"/>
  <c r="P36" i="5"/>
  <c r="T18" i="8"/>
  <c r="T20" i="8" s="1"/>
  <c r="E14" i="4"/>
  <c r="Y14" i="4"/>
  <c r="U18" i="8"/>
  <c r="U20" i="8" s="1"/>
  <c r="F14" i="4"/>
  <c r="Z14" i="4"/>
  <c r="R36" i="5"/>
  <c r="AB27" i="9"/>
  <c r="AB10" i="9"/>
  <c r="AB13" i="9"/>
  <c r="AA39" i="7"/>
  <c r="AA36" i="7"/>
  <c r="W47" i="5"/>
  <c r="AC27" i="9"/>
  <c r="AC10" i="9"/>
  <c r="AC13" i="9"/>
  <c r="AB39" i="7"/>
  <c r="AB36" i="7"/>
  <c r="F23" i="6"/>
  <c r="F21" i="6"/>
  <c r="F19" i="6"/>
  <c r="Z23" i="6"/>
  <c r="Z21" i="6"/>
  <c r="Z19" i="6"/>
  <c r="F20" i="6"/>
  <c r="F24" i="6"/>
  <c r="W7" i="4"/>
  <c r="G23" i="6"/>
  <c r="G21" i="6"/>
  <c r="G19" i="6"/>
  <c r="AA23" i="6"/>
  <c r="AA21" i="6"/>
  <c r="AA19" i="6"/>
  <c r="G20" i="6"/>
  <c r="G24" i="6"/>
  <c r="X7" i="4"/>
  <c r="H23" i="6"/>
  <c r="H21" i="6"/>
  <c r="H19" i="6"/>
  <c r="AB23" i="6"/>
  <c r="AB21" i="6"/>
  <c r="AB19" i="6"/>
  <c r="H20" i="6"/>
  <c r="H24" i="6"/>
  <c r="Y7" i="4"/>
  <c r="I23" i="6"/>
  <c r="I21" i="6"/>
  <c r="I19" i="6"/>
  <c r="AC23" i="6"/>
  <c r="AC21" i="6"/>
  <c r="AC19" i="6"/>
  <c r="I20" i="6"/>
  <c r="I24" i="6"/>
  <c r="M18" i="8"/>
  <c r="M20" i="8" s="1"/>
  <c r="AF18" i="8"/>
  <c r="AF20" i="8" s="1"/>
  <c r="L18" i="8"/>
  <c r="L20" i="8" s="1"/>
  <c r="AE18" i="8"/>
  <c r="AE20" i="8" s="1"/>
  <c r="K18" i="8"/>
  <c r="K20" i="8" s="1"/>
  <c r="AD18" i="8"/>
  <c r="AD20" i="8" s="1"/>
  <c r="J18" i="8"/>
  <c r="J20" i="8" s="1"/>
  <c r="AC18" i="8"/>
  <c r="AC20" i="8" s="1"/>
  <c r="I18" i="8"/>
  <c r="I20" i="8" s="1"/>
  <c r="Z18" i="8"/>
  <c r="Z20" i="8" s="1"/>
  <c r="F18" i="8"/>
  <c r="F20" i="8" s="1"/>
  <c r="Y18" i="8"/>
  <c r="Y20" i="8" s="1"/>
  <c r="E18" i="8"/>
  <c r="E20" i="8" s="1"/>
  <c r="X18" i="8"/>
  <c r="X20" i="8" s="1"/>
  <c r="D18" i="8"/>
  <c r="D20" i="8" s="1"/>
  <c r="G18" i="8"/>
  <c r="G20" i="8" s="1"/>
  <c r="C18" i="8"/>
  <c r="C20" i="8" s="1"/>
  <c r="AB18" i="8"/>
  <c r="AB20" i="8" s="1"/>
  <c r="AA18" i="8"/>
  <c r="AA20" i="8" s="1"/>
  <c r="W18" i="8"/>
  <c r="W20" i="8" s="1"/>
  <c r="P18" i="8"/>
  <c r="P20" i="8" s="1"/>
  <c r="O18" i="8"/>
  <c r="O20" i="8" s="1"/>
  <c r="N18" i="8"/>
  <c r="N20" i="8" s="1"/>
  <c r="H18" i="8"/>
  <c r="H20" i="8" s="1"/>
  <c r="Z7" i="4"/>
  <c r="AA41" i="5"/>
  <c r="AA43" i="5" s="1"/>
  <c r="J23" i="6"/>
  <c r="J21" i="6"/>
  <c r="J19" i="6"/>
  <c r="AD23" i="6"/>
  <c r="AD21" i="6"/>
  <c r="AD19" i="6"/>
  <c r="J20" i="6"/>
  <c r="J24" i="6"/>
  <c r="AB41" i="5"/>
  <c r="AB43" i="5" s="1"/>
  <c r="AB31" i="9"/>
  <c r="K23" i="6"/>
  <c r="K21" i="6"/>
  <c r="K19" i="6"/>
  <c r="AE23" i="6"/>
  <c r="AE21" i="6"/>
  <c r="AE19" i="6"/>
  <c r="K20" i="6"/>
  <c r="K24" i="6"/>
  <c r="H29" i="8"/>
  <c r="H38" i="8"/>
  <c r="O24" i="5"/>
  <c r="E36" i="5"/>
  <c r="AC31" i="9"/>
  <c r="P20" i="6"/>
  <c r="G3" i="4"/>
  <c r="G5" i="4" s="1"/>
  <c r="AA3" i="4"/>
  <c r="AA5" i="4" s="1"/>
  <c r="N19" i="5"/>
  <c r="T36" i="5"/>
  <c r="J35" i="5"/>
  <c r="J36" i="5" s="1"/>
  <c r="AD35" i="5"/>
  <c r="AD36" i="5" s="1"/>
  <c r="Q20" i="6"/>
  <c r="S22" i="5"/>
  <c r="S24" i="5" s="1"/>
  <c r="U36" i="5"/>
  <c r="K35" i="5"/>
  <c r="AE35" i="5"/>
  <c r="AE36" i="5" s="1"/>
  <c r="R20" i="6"/>
  <c r="T22" i="5"/>
  <c r="T24" i="5" s="1"/>
  <c r="V36" i="5"/>
  <c r="L35" i="5"/>
  <c r="L36" i="5" s="1"/>
  <c r="AF35" i="5"/>
  <c r="AF36" i="5" s="1"/>
  <c r="S20" i="6"/>
  <c r="U22" i="5"/>
  <c r="U24" i="5" s="1"/>
  <c r="C36" i="5"/>
  <c r="W36" i="5"/>
  <c r="M35" i="5"/>
  <c r="M36" i="5" s="1"/>
  <c r="O46" i="5"/>
  <c r="T20" i="6"/>
  <c r="K3" i="4"/>
  <c r="K5" i="4" s="1"/>
  <c r="AE3" i="4"/>
  <c r="AE5" i="4" s="1"/>
  <c r="V22" i="5"/>
  <c r="V24" i="5" s="1"/>
  <c r="D36" i="5"/>
  <c r="X36" i="5"/>
  <c r="N35" i="5"/>
  <c r="N36" i="5" s="1"/>
  <c r="P46" i="5"/>
  <c r="P47" i="5" s="1"/>
  <c r="U20" i="6"/>
  <c r="L3" i="4"/>
  <c r="L5" i="4" s="1"/>
  <c r="C22" i="5"/>
  <c r="C24" i="5" s="1"/>
  <c r="W22" i="5"/>
  <c r="W24" i="5" s="1"/>
  <c r="W31" i="9"/>
  <c r="V36" i="7"/>
  <c r="W27" i="9"/>
  <c r="W10" i="9"/>
  <c r="V39" i="7"/>
  <c r="W13" i="9"/>
  <c r="V20" i="6"/>
  <c r="M3" i="4"/>
  <c r="M5" i="4" s="1"/>
  <c r="D22" i="5"/>
  <c r="D24" i="5" s="1"/>
  <c r="X22" i="5"/>
  <c r="X24" i="5" s="1"/>
  <c r="X31" i="9"/>
  <c r="W36" i="7"/>
  <c r="X27" i="9"/>
  <c r="X10" i="9"/>
  <c r="W39" i="7"/>
  <c r="X13" i="9"/>
  <c r="C20" i="6"/>
  <c r="W20" i="6"/>
  <c r="N3" i="4"/>
  <c r="N5" i="4" s="1"/>
  <c r="K43" i="5"/>
  <c r="AE43" i="5"/>
  <c r="S46" i="5"/>
  <c r="Y31" i="9"/>
  <c r="X36" i="7"/>
  <c r="Y27" i="9"/>
  <c r="Y10" i="9"/>
  <c r="Y13" i="9"/>
  <c r="D20" i="6"/>
  <c r="X20" i="6"/>
  <c r="L43" i="5"/>
  <c r="AF43" i="5"/>
  <c r="AF47" i="5" s="1"/>
  <c r="T46" i="5"/>
  <c r="Z31" i="9"/>
  <c r="Y36" i="7"/>
  <c r="Z27" i="9"/>
  <c r="Z10" i="9"/>
  <c r="Z13" i="9"/>
  <c r="E20" i="6"/>
  <c r="Y20" i="6"/>
  <c r="E7" i="5"/>
  <c r="E10" i="5" s="1"/>
  <c r="Y7" i="5"/>
  <c r="M43" i="5"/>
  <c r="U46" i="5"/>
  <c r="AA31" i="9"/>
  <c r="Z36" i="7"/>
  <c r="AA13" i="9"/>
  <c r="X24" i="7"/>
  <c r="M24" i="8"/>
  <c r="M65" i="8" s="1"/>
  <c r="J27" i="9"/>
  <c r="J10" i="9"/>
  <c r="J13" i="9"/>
  <c r="AD27" i="9"/>
  <c r="AD10" i="9"/>
  <c r="AD13" i="9"/>
  <c r="AD31" i="9"/>
  <c r="K27" i="9"/>
  <c r="K10" i="9"/>
  <c r="K13" i="9"/>
  <c r="AE27" i="9"/>
  <c r="AE10" i="9"/>
  <c r="AE13" i="9"/>
  <c r="AE31" i="9"/>
  <c r="L27" i="9"/>
  <c r="L10" i="9"/>
  <c r="AF27" i="9"/>
  <c r="AF10" i="9"/>
  <c r="C14" i="9"/>
  <c r="AF31" i="9"/>
  <c r="AB24" i="7"/>
  <c r="AC24" i="7"/>
  <c r="AD24" i="7"/>
  <c r="AE24" i="7"/>
  <c r="Q13" i="9"/>
  <c r="P39" i="7"/>
  <c r="AF24" i="7"/>
  <c r="Q10" i="9"/>
  <c r="J31" i="9"/>
  <c r="K24" i="7" l="1"/>
  <c r="L24" i="7"/>
  <c r="M24" i="7"/>
  <c r="T24" i="7"/>
  <c r="F24" i="7"/>
  <c r="H24" i="7"/>
  <c r="I24" i="7"/>
  <c r="P24" i="7"/>
  <c r="G24" i="7"/>
  <c r="C24" i="7"/>
  <c r="D24" i="7"/>
  <c r="N24" i="7"/>
  <c r="R24" i="7"/>
  <c r="S24" i="7"/>
  <c r="Q24" i="7"/>
  <c r="J24" i="7"/>
  <c r="E24" i="7"/>
  <c r="C63" i="1"/>
  <c r="O24" i="7"/>
  <c r="C86" i="1"/>
  <c r="C85" i="1"/>
  <c r="C83" i="1"/>
  <c r="C81" i="1"/>
  <c r="R47" i="5"/>
  <c r="N47" i="5"/>
  <c r="D47" i="5"/>
  <c r="X47" i="5"/>
  <c r="G47" i="5"/>
  <c r="AA47" i="5"/>
  <c r="O47" i="5"/>
  <c r="K47" i="5"/>
  <c r="S47" i="5"/>
  <c r="L47" i="5"/>
  <c r="AB47" i="5"/>
  <c r="AE47" i="5"/>
  <c r="M47" i="5"/>
  <c r="U47" i="5"/>
  <c r="C61" i="8"/>
  <c r="D26" i="9"/>
  <c r="C35" i="7"/>
  <c r="AA33" i="9"/>
  <c r="Z44" i="7"/>
  <c r="Z45" i="7" s="1"/>
  <c r="Z47" i="7" s="1"/>
  <c r="Z48" i="7" s="1"/>
  <c r="AB33" i="9"/>
  <c r="AA44" i="7"/>
  <c r="AA45" i="7" s="1"/>
  <c r="AA47" i="7" s="1"/>
  <c r="AA48" i="7" s="1"/>
  <c r="Z33" i="9"/>
  <c r="Y44" i="7"/>
  <c r="Y45" i="7" s="1"/>
  <c r="Y47" i="7" s="1"/>
  <c r="Y48" i="7" s="1"/>
  <c r="X33" i="9"/>
  <c r="W44" i="7"/>
  <c r="W45" i="7" s="1"/>
  <c r="W47" i="7" s="1"/>
  <c r="W48" i="7" s="1"/>
  <c r="W33" i="9"/>
  <c r="V44" i="7"/>
  <c r="V45" i="7" s="1"/>
  <c r="V47" i="7" s="1"/>
  <c r="V48" i="7" s="1"/>
  <c r="V33" i="9"/>
  <c r="U44" i="7"/>
  <c r="U45" i="7" s="1"/>
  <c r="U47" i="7" s="1"/>
  <c r="U48" i="7" s="1"/>
  <c r="I6" i="4"/>
  <c r="I7" i="4" s="1"/>
  <c r="I8" i="4" s="1"/>
  <c r="I15" i="4" s="1"/>
  <c r="C76" i="1"/>
  <c r="C10" i="6"/>
  <c r="C11" i="6" s="1"/>
  <c r="C13" i="6" s="1"/>
  <c r="C29" i="1"/>
  <c r="C75" i="1"/>
  <c r="C82" i="1"/>
  <c r="R6" i="4"/>
  <c r="R7" i="4" s="1"/>
  <c r="R8" i="4" s="1"/>
  <c r="R15" i="4" s="1"/>
  <c r="AD47" i="5"/>
  <c r="B6" i="4"/>
  <c r="B7" i="4" s="1"/>
  <c r="P8" i="4"/>
  <c r="P15" i="4" s="1"/>
  <c r="H8" i="4"/>
  <c r="H15" i="4" s="1"/>
  <c r="E8" i="4"/>
  <c r="E15" i="4" s="1"/>
  <c r="E16" i="4" s="1"/>
  <c r="E9" i="4"/>
  <c r="T8" i="4"/>
  <c r="T15" i="4" s="1"/>
  <c r="Q8" i="4"/>
  <c r="Q15" i="4" s="1"/>
  <c r="J8" i="4"/>
  <c r="J15" i="4" s="1"/>
  <c r="AC8" i="4"/>
  <c r="AC15" i="4" s="1"/>
  <c r="D8" i="4"/>
  <c r="D15" i="4" s="1"/>
  <c r="D9" i="4"/>
  <c r="AC33" i="9"/>
  <c r="AB44" i="7"/>
  <c r="AB45" i="7" s="1"/>
  <c r="AB47" i="7" s="1"/>
  <c r="AB48" i="7" s="1"/>
  <c r="U8" i="4"/>
  <c r="U15" i="4" s="1"/>
  <c r="I33" i="9"/>
  <c r="H44" i="7"/>
  <c r="S8" i="4"/>
  <c r="S15" i="4" s="1"/>
  <c r="L6" i="4"/>
  <c r="L7" i="4" s="1"/>
  <c r="F8" i="4"/>
  <c r="F15" i="4" s="1"/>
  <c r="F9" i="4"/>
  <c r="W8" i="4"/>
  <c r="W15" i="4" s="1"/>
  <c r="W9" i="4"/>
  <c r="G6" i="4"/>
  <c r="G7" i="4" s="1"/>
  <c r="AE44" i="7"/>
  <c r="AE45" i="7" s="1"/>
  <c r="AE47" i="7" s="1"/>
  <c r="AE48" i="7" s="1"/>
  <c r="AF33" i="9"/>
  <c r="H33" i="9"/>
  <c r="G44" i="7"/>
  <c r="Y8" i="4"/>
  <c r="Y15" i="4" s="1"/>
  <c r="Y9" i="4"/>
  <c r="AB8" i="4"/>
  <c r="AB15" i="4" s="1"/>
  <c r="E44" i="7"/>
  <c r="F33" i="9"/>
  <c r="C8" i="4"/>
  <c r="C15" i="4" s="1"/>
  <c r="F44" i="7"/>
  <c r="G33" i="9"/>
  <c r="X8" i="4"/>
  <c r="X15" i="4" s="1"/>
  <c r="X16" i="4" s="1"/>
  <c r="X9" i="4"/>
  <c r="AD8" i="4"/>
  <c r="AD15" i="4" s="1"/>
  <c r="Z8" i="4"/>
  <c r="Z15" i="4" s="1"/>
  <c r="Z16" i="4" s="1"/>
  <c r="O8" i="4"/>
  <c r="O15" i="4" s="1"/>
  <c r="AD44" i="7"/>
  <c r="AD45" i="7" s="1"/>
  <c r="AD47" i="7" s="1"/>
  <c r="AD48" i="7" s="1"/>
  <c r="AE33" i="9"/>
  <c r="AC44" i="7"/>
  <c r="AC45" i="7" s="1"/>
  <c r="AC47" i="7" s="1"/>
  <c r="AC48" i="7" s="1"/>
  <c r="AD33" i="9"/>
  <c r="AA6" i="4"/>
  <c r="AA7" i="4" s="1"/>
  <c r="AE6" i="4"/>
  <c r="AE7" i="4" s="1"/>
  <c r="L33" i="9"/>
  <c r="K44" i="7"/>
  <c r="N6" i="4"/>
  <c r="N7" i="4" s="1"/>
  <c r="X44" i="7"/>
  <c r="X45" i="7" s="1"/>
  <c r="X47" i="7" s="1"/>
  <c r="X48" i="7" s="1"/>
  <c r="Y33" i="9"/>
  <c r="AG33" i="9"/>
  <c r="AF44" i="7"/>
  <c r="AF45" i="7" s="1"/>
  <c r="AF47" i="7" s="1"/>
  <c r="AF48" i="7" s="1"/>
  <c r="M6" i="4"/>
  <c r="M7" i="4" s="1"/>
  <c r="K6" i="4"/>
  <c r="K7" i="4" s="1"/>
  <c r="V8" i="4"/>
  <c r="V15" i="4" s="1"/>
  <c r="K33" i="9"/>
  <c r="J44" i="7"/>
  <c r="J33" i="9"/>
  <c r="I44" i="7"/>
  <c r="D44" i="7"/>
  <c r="E33" i="9"/>
  <c r="M33" i="9"/>
  <c r="L44" i="7"/>
  <c r="D33" i="9"/>
  <c r="C44" i="7"/>
  <c r="C25" i="7"/>
  <c r="C26" i="7" s="1"/>
  <c r="D22" i="7" s="1"/>
  <c r="C3" i="9" l="1"/>
  <c r="C3" i="8"/>
  <c r="C6" i="8" s="1"/>
  <c r="Y22" i="6"/>
  <c r="Y25" i="6" s="1"/>
  <c r="E22" i="6"/>
  <c r="E25" i="6" s="1"/>
  <c r="X22" i="6"/>
  <c r="X25" i="6" s="1"/>
  <c r="D22" i="6"/>
  <c r="D25" i="6" s="1"/>
  <c r="W22" i="6"/>
  <c r="W25" i="6" s="1"/>
  <c r="C22" i="6"/>
  <c r="V22" i="6"/>
  <c r="V25" i="6" s="1"/>
  <c r="C3" i="7"/>
  <c r="C13" i="7" s="1"/>
  <c r="U22" i="6"/>
  <c r="U25" i="6" s="1"/>
  <c r="T22" i="6"/>
  <c r="T25" i="6" s="1"/>
  <c r="S22" i="6"/>
  <c r="S25" i="6" s="1"/>
  <c r="R22" i="6"/>
  <c r="R25" i="6" s="1"/>
  <c r="Q22" i="6"/>
  <c r="Q25" i="6" s="1"/>
  <c r="P22" i="6"/>
  <c r="P25" i="6" s="1"/>
  <c r="AE22" i="6"/>
  <c r="AE25" i="6" s="1"/>
  <c r="G22" i="6"/>
  <c r="G25" i="6" s="1"/>
  <c r="AD22" i="6"/>
  <c r="AD25" i="6" s="1"/>
  <c r="O22" i="6"/>
  <c r="O25" i="6" s="1"/>
  <c r="F22" i="6"/>
  <c r="F25" i="6" s="1"/>
  <c r="AC22" i="6"/>
  <c r="AC25" i="6" s="1"/>
  <c r="K22" i="6"/>
  <c r="K25" i="6" s="1"/>
  <c r="I22" i="6"/>
  <c r="I25" i="6" s="1"/>
  <c r="N33" i="9"/>
  <c r="M44" i="7"/>
  <c r="T44" i="7"/>
  <c r="U33" i="9"/>
  <c r="O33" i="9"/>
  <c r="N44" i="7"/>
  <c r="P44" i="7"/>
  <c r="Q33" i="9"/>
  <c r="R44" i="7"/>
  <c r="S33" i="9"/>
  <c r="T33" i="9"/>
  <c r="S44" i="7"/>
  <c r="R33" i="9"/>
  <c r="Q44" i="7"/>
  <c r="P33" i="9"/>
  <c r="C57" i="9" s="1"/>
  <c r="O44" i="7"/>
  <c r="AB22" i="6"/>
  <c r="AB25" i="6" s="1"/>
  <c r="AA22" i="6"/>
  <c r="AA25" i="6" s="1"/>
  <c r="Z22" i="6"/>
  <c r="Z25" i="6" s="1"/>
  <c r="N22" i="6"/>
  <c r="N25" i="6" s="1"/>
  <c r="J22" i="6"/>
  <c r="J25" i="6" s="1"/>
  <c r="M22" i="6"/>
  <c r="M25" i="6" s="1"/>
  <c r="H22" i="6"/>
  <c r="H25" i="6" s="1"/>
  <c r="L22" i="6"/>
  <c r="L25" i="6" s="1"/>
  <c r="AF22" i="6"/>
  <c r="AF25" i="6" s="1"/>
  <c r="C31" i="1"/>
  <c r="D29" i="1" s="1"/>
  <c r="C25" i="6"/>
  <c r="C84" i="1"/>
  <c r="Q9" i="4"/>
  <c r="T9" i="4"/>
  <c r="Z9" i="4"/>
  <c r="C9" i="4"/>
  <c r="B8" i="4"/>
  <c r="B15" i="4" s="1"/>
  <c r="AD59" i="8"/>
  <c r="AE8" i="9"/>
  <c r="AE24" i="9"/>
  <c r="AD33" i="7"/>
  <c r="G8" i="9"/>
  <c r="F59" i="8"/>
  <c r="G24" i="9"/>
  <c r="F33" i="7"/>
  <c r="R24" i="9"/>
  <c r="Q33" i="7"/>
  <c r="R8" i="9"/>
  <c r="Q59" i="8"/>
  <c r="AA8" i="4"/>
  <c r="AA15" i="4" s="1"/>
  <c r="M8" i="4"/>
  <c r="M15" i="4" s="1"/>
  <c r="O33" i="7"/>
  <c r="P8" i="9"/>
  <c r="O59" i="8"/>
  <c r="P24" i="9"/>
  <c r="AE59" i="8"/>
  <c r="AF8" i="9"/>
  <c r="AF24" i="9"/>
  <c r="AE33" i="7"/>
  <c r="AG8" i="9"/>
  <c r="AF33" i="7"/>
  <c r="AG24" i="9"/>
  <c r="AF59" i="8"/>
  <c r="K8" i="4"/>
  <c r="K15" i="4" s="1"/>
  <c r="M8" i="9"/>
  <c r="L33" i="7"/>
  <c r="L59" i="8"/>
  <c r="M24" i="9"/>
  <c r="AA59" i="8"/>
  <c r="AB8" i="9"/>
  <c r="AA33" i="7"/>
  <c r="AB24" i="9"/>
  <c r="V24" i="9"/>
  <c r="U33" i="7"/>
  <c r="V8" i="9"/>
  <c r="U59" i="8"/>
  <c r="AE8" i="4"/>
  <c r="AE15" i="4" s="1"/>
  <c r="G59" i="8"/>
  <c r="H8" i="9"/>
  <c r="G33" i="7"/>
  <c r="H24" i="9"/>
  <c r="N8" i="9"/>
  <c r="M33" i="7"/>
  <c r="N24" i="9"/>
  <c r="M59" i="8"/>
  <c r="V16" i="4"/>
  <c r="V17" i="4" s="1"/>
  <c r="W24" i="9"/>
  <c r="V59" i="8"/>
  <c r="V33" i="7"/>
  <c r="W8" i="9"/>
  <c r="J16" i="4"/>
  <c r="J17" i="4" s="1"/>
  <c r="K25" i="5" s="1"/>
  <c r="K26" i="5" s="1"/>
  <c r="K27" i="5" s="1"/>
  <c r="K28" i="5" s="1"/>
  <c r="Y17" i="8"/>
  <c r="Y4" i="5"/>
  <c r="Y11" i="5" s="1"/>
  <c r="AB9" i="4"/>
  <c r="W16" i="4"/>
  <c r="W17" i="4" s="1"/>
  <c r="Z17" i="8"/>
  <c r="Z4" i="5"/>
  <c r="Z11" i="5" s="1"/>
  <c r="T16" i="4"/>
  <c r="T17" i="4" s="1"/>
  <c r="AD9" i="4"/>
  <c r="G4" i="5"/>
  <c r="G11" i="5" s="1"/>
  <c r="G17" i="8"/>
  <c r="G22" i="8" s="1"/>
  <c r="G24" i="8" s="1"/>
  <c r="G65" i="8" s="1"/>
  <c r="L8" i="4"/>
  <c r="L15" i="4" s="1"/>
  <c r="Z17" i="4"/>
  <c r="AA25" i="5" s="1"/>
  <c r="AA26" i="5" s="1"/>
  <c r="AA27" i="5" s="1"/>
  <c r="AA28" i="5" s="1"/>
  <c r="AC9" i="4"/>
  <c r="AB16" i="4"/>
  <c r="AB17" i="4" s="1"/>
  <c r="Q16" i="4"/>
  <c r="Q17" i="4" s="1"/>
  <c r="R25" i="5" s="1"/>
  <c r="R26" i="5" s="1"/>
  <c r="R27" i="5" s="1"/>
  <c r="R28" i="5" s="1"/>
  <c r="C16" i="4"/>
  <c r="C17" i="4" s="1"/>
  <c r="S9" i="4"/>
  <c r="F17" i="8"/>
  <c r="F22" i="8" s="1"/>
  <c r="F24" i="8" s="1"/>
  <c r="F65" i="8" s="1"/>
  <c r="F4" i="5"/>
  <c r="F11" i="5" s="1"/>
  <c r="S16" i="4"/>
  <c r="S17" i="4" s="1"/>
  <c r="E17" i="4"/>
  <c r="F25" i="5" s="1"/>
  <c r="F26" i="5" s="1"/>
  <c r="F27" i="5" s="1"/>
  <c r="F28" i="5" s="1"/>
  <c r="H16" i="4"/>
  <c r="H17" i="4" s="1"/>
  <c r="G8" i="4"/>
  <c r="G15" i="4" s="1"/>
  <c r="E17" i="8"/>
  <c r="E22" i="8" s="1"/>
  <c r="E24" i="8" s="1"/>
  <c r="E65" i="8" s="1"/>
  <c r="E4" i="5"/>
  <c r="E11" i="5" s="1"/>
  <c r="D16" i="4"/>
  <c r="D17" i="4" s="1"/>
  <c r="I16" i="4"/>
  <c r="I17" i="4" s="1"/>
  <c r="H9" i="4"/>
  <c r="AD16" i="4"/>
  <c r="AD17" i="4" s="1"/>
  <c r="AE25" i="5" s="1"/>
  <c r="AE26" i="5" s="1"/>
  <c r="AE27" i="5" s="1"/>
  <c r="AE28" i="5" s="1"/>
  <c r="J9" i="4"/>
  <c r="X17" i="4"/>
  <c r="F16" i="4"/>
  <c r="F17" i="4" s="1"/>
  <c r="O9" i="4"/>
  <c r="I9" i="4"/>
  <c r="P16" i="4"/>
  <c r="P17" i="4" s="1"/>
  <c r="R16" i="4"/>
  <c r="R17" i="4" s="1"/>
  <c r="X4" i="5"/>
  <c r="X11" i="5" s="1"/>
  <c r="X17" i="8"/>
  <c r="R17" i="8"/>
  <c r="R4" i="5"/>
  <c r="R11" i="5" s="1"/>
  <c r="O16" i="4"/>
  <c r="O17" i="4" s="1"/>
  <c r="Y16" i="4"/>
  <c r="Y17" i="4" s="1"/>
  <c r="N8" i="4"/>
  <c r="N15" i="4" s="1"/>
  <c r="P9" i="4"/>
  <c r="U16" i="4"/>
  <c r="U17" i="4" s="1"/>
  <c r="AC16" i="4"/>
  <c r="AC17" i="4" s="1"/>
  <c r="D23" i="7"/>
  <c r="V9" i="4"/>
  <c r="R9" i="4"/>
  <c r="U9" i="4"/>
  <c r="F37" i="8" l="1"/>
  <c r="F39" i="8" s="1"/>
  <c r="F41" i="8" s="1"/>
  <c r="D48" i="8"/>
  <c r="C8" i="8"/>
  <c r="H37" i="8"/>
  <c r="H39" i="8" s="1"/>
  <c r="H41" i="8" s="1"/>
  <c r="C37" i="8"/>
  <c r="C39" i="8" s="1"/>
  <c r="D37" i="8"/>
  <c r="D39" i="8" s="1"/>
  <c r="D41" i="8" s="1"/>
  <c r="E37" i="8"/>
  <c r="E39" i="8" s="1"/>
  <c r="E41" i="8" s="1"/>
  <c r="G37" i="8"/>
  <c r="G39" i="8" s="1"/>
  <c r="G41" i="8" s="1"/>
  <c r="Y33" i="7"/>
  <c r="Z8" i="9"/>
  <c r="Y59" i="8"/>
  <c r="Z24" i="9"/>
  <c r="F24" i="9"/>
  <c r="E59" i="8"/>
  <c r="F8" i="9"/>
  <c r="E33" i="7"/>
  <c r="Y24" i="9"/>
  <c r="X59" i="8"/>
  <c r="X33" i="7"/>
  <c r="Y8" i="9"/>
  <c r="D33" i="7"/>
  <c r="E8" i="9"/>
  <c r="D59" i="8"/>
  <c r="E24" i="9"/>
  <c r="X24" i="9"/>
  <c r="X8" i="9"/>
  <c r="W33" i="7"/>
  <c r="W59" i="8"/>
  <c r="U8" i="9"/>
  <c r="T33" i="7"/>
  <c r="T59" i="8"/>
  <c r="U24" i="9"/>
  <c r="S33" i="7"/>
  <c r="T24" i="9"/>
  <c r="T8" i="9"/>
  <c r="S59" i="8"/>
  <c r="S24" i="9"/>
  <c r="R33" i="7"/>
  <c r="S8" i="9"/>
  <c r="R59" i="8"/>
  <c r="Q24" i="9"/>
  <c r="P59" i="8"/>
  <c r="Q8" i="9"/>
  <c r="P33" i="7"/>
  <c r="AC59" i="8"/>
  <c r="AD8" i="9"/>
  <c r="AD24" i="9"/>
  <c r="AC33" i="7"/>
  <c r="L24" i="9"/>
  <c r="L8" i="9"/>
  <c r="K59" i="8"/>
  <c r="K33" i="7"/>
  <c r="I33" i="7"/>
  <c r="J24" i="9"/>
  <c r="I59" i="8"/>
  <c r="J8" i="9"/>
  <c r="AB59" i="8"/>
  <c r="AC8" i="9"/>
  <c r="AB33" i="7"/>
  <c r="AC24" i="9"/>
  <c r="Z59" i="8"/>
  <c r="Z33" i="7"/>
  <c r="AA8" i="9"/>
  <c r="AA24" i="9"/>
  <c r="O24" i="9"/>
  <c r="N59" i="8"/>
  <c r="O8" i="9"/>
  <c r="N33" i="7"/>
  <c r="H33" i="7"/>
  <c r="I8" i="9"/>
  <c r="I24" i="9"/>
  <c r="H59" i="8"/>
  <c r="C9" i="10"/>
  <c r="C3" i="10"/>
  <c r="J59" i="8"/>
  <c r="K8" i="9"/>
  <c r="J33" i="7"/>
  <c r="K24" i="9"/>
  <c r="D24" i="9"/>
  <c r="C54" i="9" s="1"/>
  <c r="C59" i="8"/>
  <c r="D8" i="9"/>
  <c r="C33" i="7"/>
  <c r="C28" i="6"/>
  <c r="D28" i="6" s="1"/>
  <c r="E28" i="6" s="1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D28" i="1"/>
  <c r="D27" i="1"/>
  <c r="D26" i="1"/>
  <c r="D30" i="1"/>
  <c r="D25" i="1"/>
  <c r="D31" i="1" s="1"/>
  <c r="C87" i="1"/>
  <c r="U17" i="8"/>
  <c r="U4" i="5"/>
  <c r="U11" i="5" s="1"/>
  <c r="C55" i="1"/>
  <c r="AA17" i="8"/>
  <c r="AA4" i="5"/>
  <c r="AA11" i="5" s="1"/>
  <c r="D4" i="5"/>
  <c r="D11" i="5" s="1"/>
  <c r="D17" i="8"/>
  <c r="D22" i="8" s="1"/>
  <c r="D24" i="8" s="1"/>
  <c r="D65" i="8" s="1"/>
  <c r="G9" i="4"/>
  <c r="B9" i="4"/>
  <c r="B16" i="4"/>
  <c r="B17" i="4" s="1"/>
  <c r="AB18" i="4"/>
  <c r="AB19" i="4" s="1"/>
  <c r="AC14" i="5" s="1"/>
  <c r="AC16" i="5" s="1"/>
  <c r="AC25" i="5"/>
  <c r="AC26" i="5" s="1"/>
  <c r="AC27" i="5" s="1"/>
  <c r="AC28" i="5" s="1"/>
  <c r="O18" i="4"/>
  <c r="O19" i="4" s="1"/>
  <c r="P14" i="5" s="1"/>
  <c r="P16" i="5" s="1"/>
  <c r="P25" i="5"/>
  <c r="P26" i="5" s="1"/>
  <c r="P27" i="5" s="1"/>
  <c r="P28" i="5" s="1"/>
  <c r="D18" i="4"/>
  <c r="D19" i="4" s="1"/>
  <c r="E14" i="5" s="1"/>
  <c r="E16" i="5" s="1"/>
  <c r="E25" i="5"/>
  <c r="E26" i="5" s="1"/>
  <c r="E27" i="5" s="1"/>
  <c r="E28" i="5" s="1"/>
  <c r="C18" i="4"/>
  <c r="C19" i="4" s="1"/>
  <c r="D14" i="5" s="1"/>
  <c r="D16" i="5" s="1"/>
  <c r="D25" i="5"/>
  <c r="D26" i="5" s="1"/>
  <c r="D27" i="5" s="1"/>
  <c r="D28" i="5" s="1"/>
  <c r="I18" i="4"/>
  <c r="I19" i="4" s="1"/>
  <c r="J14" i="5" s="1"/>
  <c r="J16" i="5" s="1"/>
  <c r="J25" i="5"/>
  <c r="J26" i="5" s="1"/>
  <c r="J27" i="5" s="1"/>
  <c r="J28" i="5" s="1"/>
  <c r="T18" i="4"/>
  <c r="T19" i="4" s="1"/>
  <c r="U14" i="5" s="1"/>
  <c r="U16" i="5" s="1"/>
  <c r="U25" i="5"/>
  <c r="U26" i="5" s="1"/>
  <c r="U27" i="5" s="1"/>
  <c r="U28" i="5" s="1"/>
  <c r="S18" i="4"/>
  <c r="S19" i="4" s="1"/>
  <c r="T14" i="5" s="1"/>
  <c r="T16" i="5" s="1"/>
  <c r="T25" i="5"/>
  <c r="T26" i="5" s="1"/>
  <c r="T27" i="5" s="1"/>
  <c r="T28" i="5" s="1"/>
  <c r="AC18" i="4"/>
  <c r="AC19" i="4" s="1"/>
  <c r="AD14" i="5" s="1"/>
  <c r="AD16" i="5" s="1"/>
  <c r="AD25" i="5"/>
  <c r="AD26" i="5" s="1"/>
  <c r="AD27" i="5" s="1"/>
  <c r="AD28" i="5" s="1"/>
  <c r="P18" i="4"/>
  <c r="P19" i="4" s="1"/>
  <c r="Q14" i="5" s="1"/>
  <c r="Q16" i="5" s="1"/>
  <c r="Q25" i="5"/>
  <c r="Q26" i="5" s="1"/>
  <c r="Q27" i="5" s="1"/>
  <c r="Q28" i="5" s="1"/>
  <c r="F18" i="4"/>
  <c r="F19" i="4" s="1"/>
  <c r="G14" i="5" s="1"/>
  <c r="G16" i="5" s="1"/>
  <c r="G25" i="5"/>
  <c r="G26" i="5" s="1"/>
  <c r="G27" i="5" s="1"/>
  <c r="G28" i="5" s="1"/>
  <c r="R18" i="4"/>
  <c r="R19" i="4" s="1"/>
  <c r="S14" i="5" s="1"/>
  <c r="S16" i="5" s="1"/>
  <c r="S25" i="5"/>
  <c r="S26" i="5" s="1"/>
  <c r="S27" i="5" s="1"/>
  <c r="S28" i="5" s="1"/>
  <c r="W18" i="4"/>
  <c r="W19" i="4" s="1"/>
  <c r="X14" i="5" s="1"/>
  <c r="X16" i="5" s="1"/>
  <c r="X25" i="5"/>
  <c r="X26" i="5" s="1"/>
  <c r="X27" i="5" s="1"/>
  <c r="X28" i="5" s="1"/>
  <c r="Y18" i="4"/>
  <c r="Y19" i="4" s="1"/>
  <c r="Z14" i="5" s="1"/>
  <c r="Z16" i="5" s="1"/>
  <c r="Z25" i="5"/>
  <c r="Z26" i="5" s="1"/>
  <c r="Z27" i="5" s="1"/>
  <c r="Z28" i="5" s="1"/>
  <c r="U18" i="4"/>
  <c r="U19" i="4" s="1"/>
  <c r="V14" i="5" s="1"/>
  <c r="V16" i="5" s="1"/>
  <c r="V25" i="5"/>
  <c r="V26" i="5" s="1"/>
  <c r="V27" i="5" s="1"/>
  <c r="V28" i="5" s="1"/>
  <c r="H18" i="4"/>
  <c r="H19" i="4" s="1"/>
  <c r="I14" i="5" s="1"/>
  <c r="I16" i="5" s="1"/>
  <c r="I25" i="5"/>
  <c r="I26" i="5" s="1"/>
  <c r="I27" i="5" s="1"/>
  <c r="I28" i="5" s="1"/>
  <c r="M9" i="4"/>
  <c r="C15" i="7"/>
  <c r="C14" i="7"/>
  <c r="N9" i="4"/>
  <c r="D61" i="8"/>
  <c r="E26" i="9"/>
  <c r="D35" i="7"/>
  <c r="D25" i="7"/>
  <c r="D26" i="7" s="1"/>
  <c r="E22" i="7" s="1"/>
  <c r="AE17" i="8"/>
  <c r="AE4" i="5"/>
  <c r="AE11" i="5" s="1"/>
  <c r="K17" i="8"/>
  <c r="K22" i="8" s="1"/>
  <c r="K24" i="8" s="1"/>
  <c r="K65" i="8" s="1"/>
  <c r="K4" i="5"/>
  <c r="K11" i="5" s="1"/>
  <c r="Z18" i="4"/>
  <c r="Z19" i="4" s="1"/>
  <c r="AA14" i="5" s="1"/>
  <c r="AA16" i="5" s="1"/>
  <c r="AA29" i="5" s="1"/>
  <c r="AD18" i="4"/>
  <c r="AD19" i="4" s="1"/>
  <c r="AE14" i="5" s="1"/>
  <c r="AE16" i="5" s="1"/>
  <c r="AE29" i="5" s="1"/>
  <c r="L16" i="4"/>
  <c r="L17" i="4" s="1"/>
  <c r="AA9" i="4"/>
  <c r="AE16" i="4"/>
  <c r="AE17" i="4" s="1"/>
  <c r="AF25" i="5" s="1"/>
  <c r="AF26" i="5" s="1"/>
  <c r="AF27" i="5" s="1"/>
  <c r="AF28" i="5" s="1"/>
  <c r="J17" i="8"/>
  <c r="J22" i="8" s="1"/>
  <c r="J24" i="8" s="1"/>
  <c r="J65" i="8" s="1"/>
  <c r="J4" i="5"/>
  <c r="J11" i="5" s="1"/>
  <c r="G16" i="4"/>
  <c r="G17" i="4" s="1"/>
  <c r="L9" i="4"/>
  <c r="AC17" i="8"/>
  <c r="AC4" i="5"/>
  <c r="AC11" i="5" s="1"/>
  <c r="K16" i="4"/>
  <c r="K17" i="4" s="1"/>
  <c r="P17" i="8"/>
  <c r="P4" i="5"/>
  <c r="P11" i="5" s="1"/>
  <c r="K9" i="4"/>
  <c r="V17" i="8"/>
  <c r="V4" i="5"/>
  <c r="V11" i="5" s="1"/>
  <c r="AE9" i="4"/>
  <c r="I4" i="5"/>
  <c r="I11" i="5" s="1"/>
  <c r="I17" i="8"/>
  <c r="I22" i="8" s="1"/>
  <c r="I24" i="8" s="1"/>
  <c r="I65" i="8" s="1"/>
  <c r="V18" i="4"/>
  <c r="V19" i="4" s="1"/>
  <c r="W14" i="5" s="1"/>
  <c r="W16" i="5" s="1"/>
  <c r="M16" i="4"/>
  <c r="M17" i="4" s="1"/>
  <c r="T17" i="8"/>
  <c r="T4" i="5"/>
  <c r="T11" i="5" s="1"/>
  <c r="AD17" i="8"/>
  <c r="AD4" i="5"/>
  <c r="AD11" i="5" s="1"/>
  <c r="N16" i="4"/>
  <c r="N17" i="4" s="1"/>
  <c r="W17" i="8"/>
  <c r="W4" i="5"/>
  <c r="W11" i="5" s="1"/>
  <c r="W25" i="5"/>
  <c r="W26" i="5" s="1"/>
  <c r="W27" i="5" s="1"/>
  <c r="W28" i="5" s="1"/>
  <c r="J18" i="4"/>
  <c r="J19" i="4" s="1"/>
  <c r="K14" i="5" s="1"/>
  <c r="K16" i="5" s="1"/>
  <c r="K29" i="5" s="1"/>
  <c r="S17" i="8"/>
  <c r="S4" i="5"/>
  <c r="S11" i="5" s="1"/>
  <c r="X18" i="4"/>
  <c r="X19" i="4" s="1"/>
  <c r="Y14" i="5" s="1"/>
  <c r="Y16" i="5" s="1"/>
  <c r="Q18" i="4"/>
  <c r="Q19" i="4" s="1"/>
  <c r="R14" i="5" s="1"/>
  <c r="R16" i="5" s="1"/>
  <c r="R29" i="5" s="1"/>
  <c r="R50" i="5" s="1"/>
  <c r="AA16" i="4"/>
  <c r="AA17" i="4" s="1"/>
  <c r="Q17" i="8"/>
  <c r="Q4" i="5"/>
  <c r="Q11" i="5" s="1"/>
  <c r="Y25" i="5"/>
  <c r="Y26" i="5" s="1"/>
  <c r="Y27" i="5" s="1"/>
  <c r="Y28" i="5" s="1"/>
  <c r="E18" i="4"/>
  <c r="E19" i="4" s="1"/>
  <c r="F14" i="5" s="1"/>
  <c r="F16" i="5" s="1"/>
  <c r="F29" i="5" s="1"/>
  <c r="F50" i="5" s="1"/>
  <c r="C11" i="8" l="1"/>
  <c r="C12" i="8" s="1"/>
  <c r="C10" i="8"/>
  <c r="C40" i="8"/>
  <c r="C41" i="8"/>
  <c r="D49" i="8" s="1"/>
  <c r="AA50" i="5"/>
  <c r="H4" i="5"/>
  <c r="H11" i="5" s="1"/>
  <c r="H17" i="8"/>
  <c r="H22" i="8" s="1"/>
  <c r="H24" i="8" s="1"/>
  <c r="H65" i="8" s="1"/>
  <c r="C60" i="1"/>
  <c r="C33" i="1"/>
  <c r="C62" i="1"/>
  <c r="C46" i="1"/>
  <c r="C17" i="8"/>
  <c r="C22" i="8" s="1"/>
  <c r="C24" i="8" s="1"/>
  <c r="C65" i="8" s="1"/>
  <c r="C4" i="5"/>
  <c r="C11" i="5" s="1"/>
  <c r="AD29" i="5"/>
  <c r="AD50" i="5" s="1"/>
  <c r="V29" i="5"/>
  <c r="V50" i="5" s="1"/>
  <c r="D29" i="5"/>
  <c r="D50" i="5" s="1"/>
  <c r="E7" i="9" s="1"/>
  <c r="E9" i="9" s="1"/>
  <c r="U29" i="5"/>
  <c r="U50" i="5" s="1"/>
  <c r="V7" i="9" s="1"/>
  <c r="V9" i="9" s="1"/>
  <c r="C25" i="5"/>
  <c r="C26" i="5" s="1"/>
  <c r="C27" i="5" s="1"/>
  <c r="C28" i="5" s="1"/>
  <c r="B18" i="4"/>
  <c r="B19" i="4" s="1"/>
  <c r="C14" i="5" s="1"/>
  <c r="C16" i="5" s="1"/>
  <c r="J29" i="5"/>
  <c r="J50" i="5" s="1"/>
  <c r="T29" i="5"/>
  <c r="T50" i="5" s="1"/>
  <c r="E29" i="5"/>
  <c r="E50" i="5" s="1"/>
  <c r="E27" i="6" s="1"/>
  <c r="S29" i="5"/>
  <c r="S50" i="5" s="1"/>
  <c r="X29" i="5"/>
  <c r="X50" i="5" s="1"/>
  <c r="X27" i="6" s="1"/>
  <c r="W29" i="5"/>
  <c r="W50" i="5" s="1"/>
  <c r="G29" i="5"/>
  <c r="G50" i="5" s="1"/>
  <c r="G58" i="8" s="1"/>
  <c r="G60" i="8" s="1"/>
  <c r="AC29" i="5"/>
  <c r="AC50" i="5" s="1"/>
  <c r="N18" i="4"/>
  <c r="N19" i="4" s="1"/>
  <c r="O14" i="5" s="1"/>
  <c r="O16" i="5" s="1"/>
  <c r="O25" i="5"/>
  <c r="O26" i="5" s="1"/>
  <c r="O27" i="5" s="1"/>
  <c r="O28" i="5" s="1"/>
  <c r="F7" i="9"/>
  <c r="F9" i="9" s="1"/>
  <c r="F32" i="7"/>
  <c r="F34" i="7" s="1"/>
  <c r="G7" i="9"/>
  <c r="G9" i="9" s="1"/>
  <c r="G23" i="9"/>
  <c r="G25" i="9" s="1"/>
  <c r="F58" i="8"/>
  <c r="F60" i="8" s="1"/>
  <c r="F27" i="6"/>
  <c r="R58" i="8"/>
  <c r="R60" i="8" s="1"/>
  <c r="S7" i="9"/>
  <c r="S9" i="9" s="1"/>
  <c r="R32" i="7"/>
  <c r="R34" i="7" s="1"/>
  <c r="S23" i="9"/>
  <c r="S25" i="9" s="1"/>
  <c r="R27" i="6"/>
  <c r="G18" i="4"/>
  <c r="G19" i="4" s="1"/>
  <c r="H14" i="5" s="1"/>
  <c r="H16" i="5" s="1"/>
  <c r="H25" i="5"/>
  <c r="H26" i="5" s="1"/>
  <c r="H27" i="5" s="1"/>
  <c r="H28" i="5" s="1"/>
  <c r="L18" i="4"/>
  <c r="L19" i="4" s="1"/>
  <c r="M14" i="5" s="1"/>
  <c r="M16" i="5" s="1"/>
  <c r="M25" i="5"/>
  <c r="M26" i="5" s="1"/>
  <c r="M27" i="5" s="1"/>
  <c r="M28" i="5" s="1"/>
  <c r="K18" i="4"/>
  <c r="K19" i="4" s="1"/>
  <c r="L14" i="5" s="1"/>
  <c r="L16" i="5" s="1"/>
  <c r="L25" i="5"/>
  <c r="L26" i="5" s="1"/>
  <c r="L27" i="5" s="1"/>
  <c r="L28" i="5" s="1"/>
  <c r="M18" i="4"/>
  <c r="M19" i="4" s="1"/>
  <c r="N14" i="5" s="1"/>
  <c r="N16" i="5" s="1"/>
  <c r="N25" i="5"/>
  <c r="N26" i="5" s="1"/>
  <c r="N27" i="5" s="1"/>
  <c r="N28" i="5" s="1"/>
  <c r="AA18" i="4"/>
  <c r="AA19" i="4" s="1"/>
  <c r="AB14" i="5" s="1"/>
  <c r="AB16" i="5" s="1"/>
  <c r="AB25" i="5"/>
  <c r="AB26" i="5" s="1"/>
  <c r="AB27" i="5" s="1"/>
  <c r="AB28" i="5" s="1"/>
  <c r="AE50" i="5"/>
  <c r="E23" i="7"/>
  <c r="AE18" i="4"/>
  <c r="AE19" i="4" s="1"/>
  <c r="AF14" i="5" s="1"/>
  <c r="AF16" i="5" s="1"/>
  <c r="AF29" i="5" s="1"/>
  <c r="N17" i="8"/>
  <c r="N4" i="5"/>
  <c r="N11" i="5" s="1"/>
  <c r="M17" i="8"/>
  <c r="M4" i="5"/>
  <c r="M11" i="5" s="1"/>
  <c r="AB17" i="8"/>
  <c r="AB4" i="5"/>
  <c r="AB11" i="5" s="1"/>
  <c r="Q29" i="5"/>
  <c r="Q50" i="5" s="1"/>
  <c r="I29" i="5"/>
  <c r="I50" i="5" s="1"/>
  <c r="P29" i="5"/>
  <c r="P50" i="5" s="1"/>
  <c r="O17" i="8"/>
  <c r="O4" i="5"/>
  <c r="O11" i="5" s="1"/>
  <c r="C17" i="7"/>
  <c r="L17" i="8"/>
  <c r="L22" i="8" s="1"/>
  <c r="L24" i="8" s="1"/>
  <c r="L65" i="8" s="1"/>
  <c r="L4" i="5"/>
  <c r="L11" i="5" s="1"/>
  <c r="Y29" i="5"/>
  <c r="Y50" i="5" s="1"/>
  <c r="C4" i="10"/>
  <c r="C5" i="10" s="1"/>
  <c r="AF17" i="8"/>
  <c r="AF4" i="5"/>
  <c r="AF11" i="5" s="1"/>
  <c r="Z29" i="5"/>
  <c r="Z50" i="5" s="1"/>
  <c r="G28" i="8"/>
  <c r="G30" i="8" s="1"/>
  <c r="K50" i="5"/>
  <c r="C28" i="8" l="1"/>
  <c r="C30" i="8" s="1"/>
  <c r="C48" i="8"/>
  <c r="H28" i="8"/>
  <c r="H30" i="8" s="1"/>
  <c r="F28" i="8"/>
  <c r="F30" i="8" s="1"/>
  <c r="E28" i="8"/>
  <c r="E30" i="8" s="1"/>
  <c r="D28" i="8"/>
  <c r="D30" i="8" s="1"/>
  <c r="C47" i="8"/>
  <c r="D50" i="8" s="1"/>
  <c r="C4" i="7"/>
  <c r="C4" i="9"/>
  <c r="C5" i="9" s="1"/>
  <c r="C15" i="9" s="1"/>
  <c r="C42" i="8"/>
  <c r="D40" i="8"/>
  <c r="AA32" i="7"/>
  <c r="AA34" i="7" s="1"/>
  <c r="AA58" i="8"/>
  <c r="AA60" i="8" s="1"/>
  <c r="AA27" i="6"/>
  <c r="AB7" i="9"/>
  <c r="AB9" i="9" s="1"/>
  <c r="AB11" i="9" s="1"/>
  <c r="AB12" i="9" s="1"/>
  <c r="AB14" i="9" s="1"/>
  <c r="AB15" i="9" s="1"/>
  <c r="AB23" i="9"/>
  <c r="AB25" i="9" s="1"/>
  <c r="C73" i="1"/>
  <c r="C61" i="1"/>
  <c r="E61" i="1" s="1"/>
  <c r="C19" i="10"/>
  <c r="C93" i="1"/>
  <c r="C34" i="1"/>
  <c r="D47" i="8"/>
  <c r="D51" i="8" s="1"/>
  <c r="E32" i="7"/>
  <c r="E34" i="7" s="1"/>
  <c r="E23" i="9"/>
  <c r="E25" i="9" s="1"/>
  <c r="C16" i="7"/>
  <c r="Y23" i="9"/>
  <c r="Y25" i="9" s="1"/>
  <c r="X58" i="8"/>
  <c r="X60" i="8" s="1"/>
  <c r="Y7" i="9"/>
  <c r="Y9" i="9" s="1"/>
  <c r="Y11" i="9" s="1"/>
  <c r="Y12" i="9" s="1"/>
  <c r="Y14" i="9" s="1"/>
  <c r="Y15" i="9" s="1"/>
  <c r="X32" i="7"/>
  <c r="X34" i="7" s="1"/>
  <c r="U58" i="8"/>
  <c r="U60" i="8" s="1"/>
  <c r="G32" i="7"/>
  <c r="G34" i="7" s="1"/>
  <c r="H7" i="9"/>
  <c r="H9" i="9" s="1"/>
  <c r="D27" i="6"/>
  <c r="W7" i="9"/>
  <c r="W9" i="9" s="1"/>
  <c r="W11" i="9" s="1"/>
  <c r="W12" i="9" s="1"/>
  <c r="W14" i="9" s="1"/>
  <c r="W15" i="9" s="1"/>
  <c r="V58" i="8"/>
  <c r="V60" i="8" s="1"/>
  <c r="H23" i="9"/>
  <c r="H25" i="9" s="1"/>
  <c r="U27" i="6"/>
  <c r="V23" i="9"/>
  <c r="V25" i="9" s="1"/>
  <c r="U32" i="7"/>
  <c r="U34" i="7" s="1"/>
  <c r="V32" i="7"/>
  <c r="V34" i="7" s="1"/>
  <c r="D58" i="8"/>
  <c r="D60" i="8" s="1"/>
  <c r="V27" i="6"/>
  <c r="W23" i="9"/>
  <c r="W25" i="9" s="1"/>
  <c r="D32" i="7"/>
  <c r="D34" i="7" s="1"/>
  <c r="C29" i="5"/>
  <c r="F23" i="9"/>
  <c r="F25" i="9" s="1"/>
  <c r="E58" i="8"/>
  <c r="E60" i="8" s="1"/>
  <c r="AB29" i="5"/>
  <c r="AB50" i="5" s="1"/>
  <c r="G27" i="6"/>
  <c r="H29" i="5"/>
  <c r="H50" i="5" s="1"/>
  <c r="I7" i="9" s="1"/>
  <c r="I9" i="9" s="1"/>
  <c r="N29" i="5"/>
  <c r="N50" i="5" s="1"/>
  <c r="L29" i="5"/>
  <c r="L50" i="5" s="1"/>
  <c r="Q58" i="8"/>
  <c r="Q60" i="8" s="1"/>
  <c r="R7" i="9"/>
  <c r="R9" i="9" s="1"/>
  <c r="Q32" i="7"/>
  <c r="Q34" i="7" s="1"/>
  <c r="R23" i="9"/>
  <c r="R25" i="9" s="1"/>
  <c r="Q27" i="6"/>
  <c r="V11" i="9"/>
  <c r="V12" i="9" s="1"/>
  <c r="V14" i="9" s="1"/>
  <c r="V15" i="9" s="1"/>
  <c r="L7" i="9"/>
  <c r="L9" i="9" s="1"/>
  <c r="K32" i="7"/>
  <c r="K34" i="7" s="1"/>
  <c r="L23" i="9"/>
  <c r="L25" i="9" s="1"/>
  <c r="K58" i="8"/>
  <c r="K60" i="8" s="1"/>
  <c r="K27" i="6"/>
  <c r="E62" i="8"/>
  <c r="E32" i="8"/>
  <c r="H32" i="8"/>
  <c r="H62" i="8"/>
  <c r="C31" i="8"/>
  <c r="C62" i="8"/>
  <c r="C32" i="8"/>
  <c r="J23" i="9"/>
  <c r="J25" i="9" s="1"/>
  <c r="J7" i="9"/>
  <c r="J9" i="9" s="1"/>
  <c r="I32" i="7"/>
  <c r="I34" i="7" s="1"/>
  <c r="I58" i="8"/>
  <c r="I60" i="8" s="1"/>
  <c r="I27" i="6"/>
  <c r="AD23" i="9"/>
  <c r="AD25" i="9" s="1"/>
  <c r="AC32" i="7"/>
  <c r="AC34" i="7" s="1"/>
  <c r="AC58" i="8"/>
  <c r="AC60" i="8" s="1"/>
  <c r="AD7" i="9"/>
  <c r="AD9" i="9" s="1"/>
  <c r="AC27" i="6"/>
  <c r="K23" i="9"/>
  <c r="K25" i="9" s="1"/>
  <c r="J32" i="7"/>
  <c r="J34" i="7" s="1"/>
  <c r="K7" i="9"/>
  <c r="K9" i="9" s="1"/>
  <c r="J58" i="8"/>
  <c r="J60" i="8" s="1"/>
  <c r="J27" i="6"/>
  <c r="E40" i="8"/>
  <c r="D42" i="8"/>
  <c r="G32" i="8"/>
  <c r="G62" i="8"/>
  <c r="T58" i="8"/>
  <c r="T60" i="8" s="1"/>
  <c r="T32" i="7"/>
  <c r="T34" i="7" s="1"/>
  <c r="U7" i="9"/>
  <c r="U9" i="9" s="1"/>
  <c r="U23" i="9"/>
  <c r="U25" i="9" s="1"/>
  <c r="T27" i="6"/>
  <c r="X7" i="9"/>
  <c r="X9" i="9" s="1"/>
  <c r="W32" i="7"/>
  <c r="W34" i="7" s="1"/>
  <c r="X23" i="9"/>
  <c r="X25" i="9" s="1"/>
  <c r="W58" i="8"/>
  <c r="W60" i="8" s="1"/>
  <c r="W27" i="6"/>
  <c r="Q23" i="9"/>
  <c r="Q25" i="9" s="1"/>
  <c r="Q7" i="9"/>
  <c r="Q9" i="9" s="1"/>
  <c r="P32" i="7"/>
  <c r="P34" i="7" s="1"/>
  <c r="P58" i="8"/>
  <c r="P60" i="8" s="1"/>
  <c r="P27" i="6"/>
  <c r="M29" i="5"/>
  <c r="M50" i="5" s="1"/>
  <c r="Z32" i="7"/>
  <c r="Z34" i="7" s="1"/>
  <c r="AA23" i="9"/>
  <c r="AA25" i="9" s="1"/>
  <c r="Z58" i="8"/>
  <c r="Z60" i="8" s="1"/>
  <c r="AA7" i="9"/>
  <c r="AA9" i="9" s="1"/>
  <c r="Z27" i="6"/>
  <c r="AF50" i="5"/>
  <c r="AE23" i="9"/>
  <c r="AE25" i="9" s="1"/>
  <c r="AD58" i="8"/>
  <c r="AD60" i="8" s="1"/>
  <c r="AE7" i="9"/>
  <c r="AE9" i="9" s="1"/>
  <c r="AD32" i="7"/>
  <c r="AD34" i="7" s="1"/>
  <c r="AD27" i="6"/>
  <c r="O29" i="5"/>
  <c r="O50" i="5" s="1"/>
  <c r="Z7" i="9"/>
  <c r="Z9" i="9" s="1"/>
  <c r="Y32" i="7"/>
  <c r="Y34" i="7" s="1"/>
  <c r="Z23" i="9"/>
  <c r="Z25" i="9" s="1"/>
  <c r="Y58" i="8"/>
  <c r="Y60" i="8" s="1"/>
  <c r="Y27" i="6"/>
  <c r="E61" i="8"/>
  <c r="F26" i="9"/>
  <c r="E35" i="7"/>
  <c r="E25" i="7"/>
  <c r="E26" i="7" s="1"/>
  <c r="F22" i="7" s="1"/>
  <c r="AE58" i="8"/>
  <c r="AE60" i="8" s="1"/>
  <c r="AF23" i="9"/>
  <c r="AF25" i="9" s="1"/>
  <c r="AF7" i="9"/>
  <c r="AF9" i="9" s="1"/>
  <c r="AE32" i="7"/>
  <c r="AE34" i="7" s="1"/>
  <c r="AE27" i="6"/>
  <c r="S58" i="8"/>
  <c r="S60" i="8" s="1"/>
  <c r="T7" i="9"/>
  <c r="T9" i="9" s="1"/>
  <c r="S32" i="7"/>
  <c r="S34" i="7" s="1"/>
  <c r="T23" i="9"/>
  <c r="T25" i="9" s="1"/>
  <c r="S27" i="6"/>
  <c r="S11" i="9"/>
  <c r="S12" i="9" s="1"/>
  <c r="S14" i="9" s="1"/>
  <c r="S15" i="9" s="1"/>
  <c r="C10" i="10"/>
  <c r="C11" i="10" s="1"/>
  <c r="F32" i="8" l="1"/>
  <c r="F62" i="8"/>
  <c r="D62" i="8"/>
  <c r="D32" i="8"/>
  <c r="C77" i="1"/>
  <c r="D73" i="1" s="1"/>
  <c r="C22" i="9"/>
  <c r="C35" i="9" s="1"/>
  <c r="C36" i="9" s="1"/>
  <c r="C35" i="1"/>
  <c r="C36" i="1" s="1"/>
  <c r="C50" i="5"/>
  <c r="C74" i="1"/>
  <c r="C94" i="1"/>
  <c r="D63" i="8"/>
  <c r="D64" i="8" s="1"/>
  <c r="D66" i="8" s="1"/>
  <c r="D38" i="7" s="1"/>
  <c r="D40" i="7" s="1"/>
  <c r="D43" i="7" s="1"/>
  <c r="D45" i="7" s="1"/>
  <c r="D47" i="7" s="1"/>
  <c r="D48" i="7" s="1"/>
  <c r="E63" i="8"/>
  <c r="E64" i="8" s="1"/>
  <c r="E66" i="8" s="1"/>
  <c r="F29" i="9" s="1"/>
  <c r="F32" i="9" s="1"/>
  <c r="F34" i="9" s="1"/>
  <c r="F35" i="9" s="1"/>
  <c r="H58" i="8"/>
  <c r="H60" i="8" s="1"/>
  <c r="I23" i="9"/>
  <c r="I25" i="9" s="1"/>
  <c r="H27" i="6"/>
  <c r="H32" i="7"/>
  <c r="H34" i="7" s="1"/>
  <c r="C58" i="8"/>
  <c r="C60" i="8" s="1"/>
  <c r="C63" i="8" s="1"/>
  <c r="C64" i="8" s="1"/>
  <c r="C66" i="8" s="1"/>
  <c r="C38" i="7" s="1"/>
  <c r="D23" i="9"/>
  <c r="D7" i="9"/>
  <c r="D9" i="9" s="1"/>
  <c r="C32" i="7"/>
  <c r="C34" i="7" s="1"/>
  <c r="C27" i="6"/>
  <c r="N23" i="9"/>
  <c r="N25" i="9" s="1"/>
  <c r="M58" i="8"/>
  <c r="M60" i="8" s="1"/>
  <c r="M32" i="7"/>
  <c r="M34" i="7" s="1"/>
  <c r="N7" i="9"/>
  <c r="N9" i="9" s="1"/>
  <c r="M27" i="6"/>
  <c r="P23" i="9"/>
  <c r="P25" i="9" s="1"/>
  <c r="O58" i="8"/>
  <c r="O60" i="8" s="1"/>
  <c r="O32" i="7"/>
  <c r="O34" i="7" s="1"/>
  <c r="P7" i="9"/>
  <c r="P9" i="9" s="1"/>
  <c r="O27" i="6"/>
  <c r="J11" i="9"/>
  <c r="J12" i="9" s="1"/>
  <c r="J14" i="9" s="1"/>
  <c r="J15" i="9" s="1"/>
  <c r="Z11" i="9"/>
  <c r="Z12" i="9" s="1"/>
  <c r="Z14" i="9" s="1"/>
  <c r="Z15" i="9" s="1"/>
  <c r="F40" i="8"/>
  <c r="E42" i="8"/>
  <c r="G31" i="9"/>
  <c r="F36" i="7"/>
  <c r="G10" i="9"/>
  <c r="G11" i="9" s="1"/>
  <c r="G12" i="9" s="1"/>
  <c r="G27" i="9"/>
  <c r="F39" i="7"/>
  <c r="G13" i="9"/>
  <c r="C49" i="8"/>
  <c r="C51" i="8" s="1"/>
  <c r="O23" i="9"/>
  <c r="O25" i="9" s="1"/>
  <c r="N58" i="8"/>
  <c r="N60" i="8" s="1"/>
  <c r="N32" i="7"/>
  <c r="N34" i="7" s="1"/>
  <c r="O7" i="9"/>
  <c r="O9" i="9" s="1"/>
  <c r="N27" i="6"/>
  <c r="D31" i="9"/>
  <c r="C36" i="7"/>
  <c r="D27" i="9"/>
  <c r="D10" i="9"/>
  <c r="C39" i="7"/>
  <c r="D13" i="9"/>
  <c r="D31" i="8"/>
  <c r="C33" i="8"/>
  <c r="C34" i="10"/>
  <c r="C20" i="10"/>
  <c r="I27" i="9"/>
  <c r="I10" i="9"/>
  <c r="I11" i="9" s="1"/>
  <c r="I12" i="9" s="1"/>
  <c r="I13" i="9"/>
  <c r="H39" i="7"/>
  <c r="I31" i="9"/>
  <c r="H36" i="7"/>
  <c r="AA11" i="9"/>
  <c r="AA12" i="9" s="1"/>
  <c r="K11" i="9"/>
  <c r="K12" i="9" s="1"/>
  <c r="K14" i="9" s="1"/>
  <c r="K15" i="9" s="1"/>
  <c r="AF11" i="9"/>
  <c r="AF12" i="9" s="1"/>
  <c r="AF14" i="9" s="1"/>
  <c r="AF15" i="9" s="1"/>
  <c r="AE11" i="9"/>
  <c r="AE12" i="9" s="1"/>
  <c r="AE14" i="9" s="1"/>
  <c r="AE15" i="9" s="1"/>
  <c r="AD11" i="9"/>
  <c r="AD12" i="9" s="1"/>
  <c r="F31" i="9"/>
  <c r="E36" i="7"/>
  <c r="E37" i="7" s="1"/>
  <c r="F27" i="9"/>
  <c r="F28" i="9" s="1"/>
  <c r="F10" i="9"/>
  <c r="F11" i="9" s="1"/>
  <c r="F12" i="9" s="1"/>
  <c r="E39" i="7"/>
  <c r="F13" i="9"/>
  <c r="F23" i="7"/>
  <c r="AC23" i="9"/>
  <c r="AC25" i="9" s="1"/>
  <c r="AB32" i="7"/>
  <c r="AB34" i="7" s="1"/>
  <c r="AB58" i="8"/>
  <c r="AB60" i="8" s="1"/>
  <c r="AC7" i="9"/>
  <c r="AC9" i="9" s="1"/>
  <c r="AB27" i="6"/>
  <c r="M23" i="9"/>
  <c r="L58" i="8"/>
  <c r="L60" i="8" s="1"/>
  <c r="M7" i="9"/>
  <c r="M9" i="9" s="1"/>
  <c r="L32" i="7"/>
  <c r="L34" i="7" s="1"/>
  <c r="L27" i="6"/>
  <c r="T11" i="9"/>
  <c r="T12" i="9" s="1"/>
  <c r="AG23" i="9"/>
  <c r="AG25" i="9" s="1"/>
  <c r="AF58" i="8"/>
  <c r="AF60" i="8" s="1"/>
  <c r="AG7" i="9"/>
  <c r="AG9" i="9" s="1"/>
  <c r="AF32" i="7"/>
  <c r="AF34" i="7" s="1"/>
  <c r="AF27" i="6"/>
  <c r="D36" i="7"/>
  <c r="D37" i="7" s="1"/>
  <c r="E27" i="9"/>
  <c r="E28" i="9" s="1"/>
  <c r="E10" i="9"/>
  <c r="E11" i="9" s="1"/>
  <c r="E12" i="9" s="1"/>
  <c r="E13" i="9"/>
  <c r="Q11" i="9"/>
  <c r="Q12" i="9" s="1"/>
  <c r="Q14" i="9" s="1"/>
  <c r="Q15" i="9" s="1"/>
  <c r="U11" i="9"/>
  <c r="U12" i="9" s="1"/>
  <c r="U14" i="9" s="1"/>
  <c r="U15" i="9" s="1"/>
  <c r="X11" i="9"/>
  <c r="X12" i="9" s="1"/>
  <c r="X14" i="9" s="1"/>
  <c r="X15" i="9" s="1"/>
  <c r="R11" i="9"/>
  <c r="R12" i="9" s="1"/>
  <c r="R14" i="9" s="1"/>
  <c r="R15" i="9" s="1"/>
  <c r="H27" i="9"/>
  <c r="H10" i="9"/>
  <c r="H11" i="9" s="1"/>
  <c r="H12" i="9" s="1"/>
  <c r="H13" i="9"/>
  <c r="G39" i="7"/>
  <c r="H31" i="9"/>
  <c r="G36" i="7"/>
  <c r="L11" i="9"/>
  <c r="L12" i="9" s="1"/>
  <c r="L14" i="9" s="1"/>
  <c r="L15" i="9" s="1"/>
  <c r="E31" i="9" l="1"/>
  <c r="D39" i="7"/>
  <c r="D87" i="1"/>
  <c r="D84" i="1"/>
  <c r="D86" i="1"/>
  <c r="D85" i="1"/>
  <c r="D81" i="1"/>
  <c r="D83" i="1"/>
  <c r="D82" i="1"/>
  <c r="D75" i="1"/>
  <c r="D76" i="1"/>
  <c r="D33" i="1"/>
  <c r="C37" i="1"/>
  <c r="D37" i="1" s="1"/>
  <c r="D74" i="1"/>
  <c r="D35" i="1"/>
  <c r="D34" i="1"/>
  <c r="D25" i="9"/>
  <c r="C53" i="9"/>
  <c r="E94" i="1"/>
  <c r="D29" i="9"/>
  <c r="D32" i="9" s="1"/>
  <c r="D34" i="9" s="1"/>
  <c r="D35" i="9" s="1"/>
  <c r="D28" i="9"/>
  <c r="E38" i="7"/>
  <c r="E40" i="7" s="1"/>
  <c r="E43" i="7" s="1"/>
  <c r="E45" i="7" s="1"/>
  <c r="E47" i="7" s="1"/>
  <c r="E48" i="7" s="1"/>
  <c r="E29" i="9"/>
  <c r="E32" i="9" s="1"/>
  <c r="E34" i="9" s="1"/>
  <c r="E35" i="9" s="1"/>
  <c r="C40" i="7"/>
  <c r="C51" i="7" s="1"/>
  <c r="C37" i="7"/>
  <c r="D11" i="9"/>
  <c r="D12" i="9" s="1"/>
  <c r="I14" i="9"/>
  <c r="I15" i="9" s="1"/>
  <c r="E14" i="9"/>
  <c r="E15" i="9" s="1"/>
  <c r="G26" i="9"/>
  <c r="G28" i="9" s="1"/>
  <c r="F61" i="8"/>
  <c r="F63" i="8" s="1"/>
  <c r="F64" i="8" s="1"/>
  <c r="F66" i="8" s="1"/>
  <c r="F35" i="7"/>
  <c r="F37" i="7" s="1"/>
  <c r="F25" i="7"/>
  <c r="F26" i="7" s="1"/>
  <c r="G22" i="7" s="1"/>
  <c r="M11" i="9"/>
  <c r="M12" i="9" s="1"/>
  <c r="M14" i="9" s="1"/>
  <c r="M15" i="9" s="1"/>
  <c r="M25" i="9"/>
  <c r="C53" i="8"/>
  <c r="C54" i="8"/>
  <c r="D78" i="3" s="1"/>
  <c r="F30" i="9"/>
  <c r="F14" i="9"/>
  <c r="F15" i="9" s="1"/>
  <c r="P11" i="9"/>
  <c r="P12" i="9" s="1"/>
  <c r="P14" i="9" s="1"/>
  <c r="P15" i="9" s="1"/>
  <c r="AG11" i="9"/>
  <c r="AG12" i="9" s="1"/>
  <c r="AG14" i="9" s="1"/>
  <c r="AG15" i="9" s="1"/>
  <c r="G14" i="9"/>
  <c r="G15" i="9" s="1"/>
  <c r="AC11" i="9"/>
  <c r="AC12" i="9" s="1"/>
  <c r="G40" i="8"/>
  <c r="F42" i="8"/>
  <c r="N11" i="9"/>
  <c r="N12" i="9" s="1"/>
  <c r="N14" i="9" s="1"/>
  <c r="N15" i="9" s="1"/>
  <c r="E31" i="8"/>
  <c r="D33" i="8"/>
  <c r="AA14" i="9"/>
  <c r="AA15" i="9" s="1"/>
  <c r="H14" i="9"/>
  <c r="H15" i="9" s="1"/>
  <c r="AD14" i="9"/>
  <c r="AD15" i="9" s="1"/>
  <c r="T14" i="9"/>
  <c r="T15" i="9" s="1"/>
  <c r="O11" i="9"/>
  <c r="O12" i="9" s="1"/>
  <c r="O14" i="9" s="1"/>
  <c r="O15" i="9" s="1"/>
  <c r="C88" i="1" l="1"/>
  <c r="D88" i="1" s="1"/>
  <c r="C45" i="1"/>
  <c r="D77" i="1"/>
  <c r="C67" i="1"/>
  <c r="E67" i="1" s="1"/>
  <c r="D30" i="9"/>
  <c r="C47" i="1"/>
  <c r="E30" i="9"/>
  <c r="C43" i="7"/>
  <c r="C45" i="7" s="1"/>
  <c r="C47" i="7" s="1"/>
  <c r="C48" i="7" s="1"/>
  <c r="D14" i="9"/>
  <c r="D15" i="9" s="1"/>
  <c r="G23" i="7"/>
  <c r="H40" i="8"/>
  <c r="H42" i="8" s="1"/>
  <c r="G42" i="8"/>
  <c r="F38" i="7"/>
  <c r="F40" i="7" s="1"/>
  <c r="F43" i="7" s="1"/>
  <c r="F45" i="7" s="1"/>
  <c r="F47" i="7" s="1"/>
  <c r="F48" i="7" s="1"/>
  <c r="G29" i="9"/>
  <c r="D36" i="9"/>
  <c r="AC14" i="9"/>
  <c r="AC15" i="9" s="1"/>
  <c r="E33" i="8"/>
  <c r="F31" i="8"/>
  <c r="C17" i="9" l="1"/>
  <c r="C16" i="9"/>
  <c r="C47" i="9" s="1"/>
  <c r="E36" i="9"/>
  <c r="F36" i="9" s="1"/>
  <c r="G32" i="9"/>
  <c r="G34" i="9" s="1"/>
  <c r="G35" i="9" s="1"/>
  <c r="G30" i="9"/>
  <c r="G61" i="8"/>
  <c r="G63" i="8" s="1"/>
  <c r="G64" i="8" s="1"/>
  <c r="G66" i="8" s="1"/>
  <c r="G35" i="7"/>
  <c r="G37" i="7" s="1"/>
  <c r="H26" i="9"/>
  <c r="H28" i="9" s="1"/>
  <c r="G25" i="7"/>
  <c r="G26" i="7" s="1"/>
  <c r="H22" i="7" s="1"/>
  <c r="F33" i="8"/>
  <c r="G31" i="8"/>
  <c r="C49" i="9" l="1"/>
  <c r="C44" i="1"/>
  <c r="E44" i="1" s="1"/>
  <c r="C18" i="10"/>
  <c r="C43" i="1"/>
  <c r="E43" i="1" s="1"/>
  <c r="G33" i="8"/>
  <c r="H31" i="8"/>
  <c r="H33" i="8" s="1"/>
  <c r="H29" i="9"/>
  <c r="G38" i="7"/>
  <c r="G40" i="7" s="1"/>
  <c r="G43" i="7" s="1"/>
  <c r="G45" i="7" s="1"/>
  <c r="H23" i="7"/>
  <c r="G36" i="9"/>
  <c r="H61" i="8" l="1"/>
  <c r="H63" i="8" s="1"/>
  <c r="H64" i="8" s="1"/>
  <c r="H66" i="8" s="1"/>
  <c r="H35" i="7"/>
  <c r="H37" i="7" s="1"/>
  <c r="I26" i="9"/>
  <c r="I28" i="9" s="1"/>
  <c r="H25" i="7"/>
  <c r="H26" i="7" s="1"/>
  <c r="I22" i="7" s="1"/>
  <c r="G47" i="7"/>
  <c r="G48" i="7" s="1"/>
  <c r="H32" i="9"/>
  <c r="H34" i="9" s="1"/>
  <c r="H35" i="9" s="1"/>
  <c r="H30" i="9"/>
  <c r="I23" i="7" l="1"/>
  <c r="I29" i="9"/>
  <c r="H38" i="7"/>
  <c r="H40" i="7" s="1"/>
  <c r="H43" i="7" s="1"/>
  <c r="H45" i="7" s="1"/>
  <c r="H36" i="9"/>
  <c r="I61" i="8" l="1"/>
  <c r="I63" i="8" s="1"/>
  <c r="I64" i="8" s="1"/>
  <c r="I66" i="8" s="1"/>
  <c r="J26" i="9"/>
  <c r="J28" i="9" s="1"/>
  <c r="I35" i="7"/>
  <c r="I37" i="7" s="1"/>
  <c r="I25" i="7"/>
  <c r="I26" i="7" s="1"/>
  <c r="J22" i="7" s="1"/>
  <c r="H47" i="7"/>
  <c r="H48" i="7" s="1"/>
  <c r="I32" i="9"/>
  <c r="I34" i="9" s="1"/>
  <c r="I35" i="9" s="1"/>
  <c r="I30" i="9"/>
  <c r="J23" i="7" l="1"/>
  <c r="I38" i="7"/>
  <c r="I40" i="7" s="1"/>
  <c r="I43" i="7" s="1"/>
  <c r="I45" i="7" s="1"/>
  <c r="J29" i="9"/>
  <c r="I36" i="9"/>
  <c r="I47" i="7" l="1"/>
  <c r="I48" i="7" s="1"/>
  <c r="J61" i="8"/>
  <c r="J63" i="8" s="1"/>
  <c r="J64" i="8" s="1"/>
  <c r="J66" i="8" s="1"/>
  <c r="K26" i="9"/>
  <c r="K28" i="9" s="1"/>
  <c r="J35" i="7"/>
  <c r="J37" i="7" s="1"/>
  <c r="J25" i="7"/>
  <c r="J26" i="7" s="1"/>
  <c r="K22" i="7" s="1"/>
  <c r="J32" i="9"/>
  <c r="J34" i="9" s="1"/>
  <c r="J35" i="9" s="1"/>
  <c r="J36" i="9" s="1"/>
  <c r="J30" i="9"/>
  <c r="K23" i="7" l="1"/>
  <c r="K29" i="9"/>
  <c r="J38" i="7"/>
  <c r="J40" i="7" s="1"/>
  <c r="J43" i="7" s="1"/>
  <c r="J45" i="7" s="1"/>
  <c r="J47" i="7" s="1"/>
  <c r="J48" i="7" s="1"/>
  <c r="K32" i="9" l="1"/>
  <c r="K34" i="9" s="1"/>
  <c r="K35" i="9" s="1"/>
  <c r="K36" i="9" s="1"/>
  <c r="K30" i="9"/>
  <c r="K61" i="8"/>
  <c r="K63" i="8" s="1"/>
  <c r="K64" i="8" s="1"/>
  <c r="K66" i="8" s="1"/>
  <c r="L26" i="9"/>
  <c r="L28" i="9" s="1"/>
  <c r="K35" i="7"/>
  <c r="K37" i="7" s="1"/>
  <c r="K25" i="7"/>
  <c r="K26" i="7" s="1"/>
  <c r="L22" i="7" s="1"/>
  <c r="L23" i="7" l="1"/>
  <c r="K38" i="7"/>
  <c r="K40" i="7" s="1"/>
  <c r="K43" i="7" s="1"/>
  <c r="K45" i="7" s="1"/>
  <c r="K47" i="7" s="1"/>
  <c r="K48" i="7" s="1"/>
  <c r="L29" i="9"/>
  <c r="L32" i="9" l="1"/>
  <c r="L34" i="9" s="1"/>
  <c r="L35" i="9" s="1"/>
  <c r="L36" i="9" s="1"/>
  <c r="L30" i="9"/>
  <c r="L35" i="7"/>
  <c r="L37" i="7" s="1"/>
  <c r="M26" i="9"/>
  <c r="M28" i="9" s="1"/>
  <c r="L61" i="8"/>
  <c r="L63" i="8" s="1"/>
  <c r="L64" i="8" s="1"/>
  <c r="L66" i="8" s="1"/>
  <c r="L25" i="7"/>
  <c r="L26" i="7" s="1"/>
  <c r="M22" i="7" s="1"/>
  <c r="L38" i="7" l="1"/>
  <c r="L40" i="7" s="1"/>
  <c r="L43" i="7" s="1"/>
  <c r="L45" i="7" s="1"/>
  <c r="L47" i="7" s="1"/>
  <c r="L48" i="7" s="1"/>
  <c r="M29" i="9"/>
  <c r="M23" i="7"/>
  <c r="M30" i="9" l="1"/>
  <c r="M32" i="9"/>
  <c r="M34" i="9" s="1"/>
  <c r="M35" i="9" s="1"/>
  <c r="M36" i="9" s="1"/>
  <c r="M35" i="7"/>
  <c r="M37" i="7" s="1"/>
  <c r="N26" i="9"/>
  <c r="N28" i="9" s="1"/>
  <c r="M61" i="8"/>
  <c r="M63" i="8" s="1"/>
  <c r="M64" i="8" s="1"/>
  <c r="M66" i="8" s="1"/>
  <c r="M25" i="7"/>
  <c r="M26" i="7" s="1"/>
  <c r="N22" i="7" s="1"/>
  <c r="N23" i="7" l="1"/>
  <c r="M38" i="7"/>
  <c r="M40" i="7" s="1"/>
  <c r="M43" i="7" s="1"/>
  <c r="M45" i="7" s="1"/>
  <c r="M47" i="7" s="1"/>
  <c r="M48" i="7" s="1"/>
  <c r="N29" i="9"/>
  <c r="N35" i="7" l="1"/>
  <c r="N37" i="7" s="1"/>
  <c r="O26" i="9"/>
  <c r="O28" i="9" s="1"/>
  <c r="N61" i="8"/>
  <c r="N63" i="8" s="1"/>
  <c r="N64" i="8" s="1"/>
  <c r="N66" i="8" s="1"/>
  <c r="N25" i="7"/>
  <c r="N26" i="7" s="1"/>
  <c r="O22" i="7" s="1"/>
  <c r="N32" i="9"/>
  <c r="N34" i="9" s="1"/>
  <c r="N35" i="9" s="1"/>
  <c r="N36" i="9" s="1"/>
  <c r="N30" i="9"/>
  <c r="O23" i="7" l="1"/>
  <c r="N38" i="7"/>
  <c r="N40" i="7" s="1"/>
  <c r="N43" i="7" s="1"/>
  <c r="N45" i="7" s="1"/>
  <c r="N47" i="7" s="1"/>
  <c r="N48" i="7" s="1"/>
  <c r="O29" i="9"/>
  <c r="O32" i="9" l="1"/>
  <c r="O34" i="9" s="1"/>
  <c r="O35" i="9" s="1"/>
  <c r="O36" i="9" s="1"/>
  <c r="O30" i="9"/>
  <c r="O35" i="7"/>
  <c r="O37" i="7" s="1"/>
  <c r="P26" i="9"/>
  <c r="P28" i="9" s="1"/>
  <c r="O61" i="8"/>
  <c r="O63" i="8" s="1"/>
  <c r="O64" i="8" s="1"/>
  <c r="O66" i="8" s="1"/>
  <c r="O25" i="7"/>
  <c r="O26" i="7" s="1"/>
  <c r="P22" i="7" s="1"/>
  <c r="P23" i="7" l="1"/>
  <c r="O38" i="7"/>
  <c r="O40" i="7" s="1"/>
  <c r="O43" i="7" s="1"/>
  <c r="O45" i="7" s="1"/>
  <c r="O47" i="7" s="1"/>
  <c r="O48" i="7" s="1"/>
  <c r="P29" i="9"/>
  <c r="P32" i="9" l="1"/>
  <c r="P34" i="9" s="1"/>
  <c r="P35" i="9" s="1"/>
  <c r="P36" i="9" s="1"/>
  <c r="P30" i="9"/>
  <c r="P35" i="7"/>
  <c r="P37" i="7" s="1"/>
  <c r="Q26" i="9"/>
  <c r="Q28" i="9" s="1"/>
  <c r="P61" i="8"/>
  <c r="P63" i="8" s="1"/>
  <c r="P64" i="8" s="1"/>
  <c r="P66" i="8" s="1"/>
  <c r="P25" i="7"/>
  <c r="P26" i="7" s="1"/>
  <c r="Q22" i="7" s="1"/>
  <c r="Q23" i="7" l="1"/>
  <c r="P38" i="7"/>
  <c r="P40" i="7" s="1"/>
  <c r="P43" i="7" s="1"/>
  <c r="P45" i="7" s="1"/>
  <c r="P47" i="7" s="1"/>
  <c r="P48" i="7" s="1"/>
  <c r="Q29" i="9"/>
  <c r="Q32" i="9" l="1"/>
  <c r="Q34" i="9" s="1"/>
  <c r="Q35" i="9" s="1"/>
  <c r="Q36" i="9" s="1"/>
  <c r="Q30" i="9"/>
  <c r="R26" i="9"/>
  <c r="R28" i="9" s="1"/>
  <c r="Q61" i="8"/>
  <c r="Q63" i="8" s="1"/>
  <c r="Q64" i="8" s="1"/>
  <c r="Q66" i="8" s="1"/>
  <c r="Q35" i="7"/>
  <c r="Q37" i="7" s="1"/>
  <c r="Q25" i="7"/>
  <c r="Q26" i="7" s="1"/>
  <c r="R22" i="7" s="1"/>
  <c r="R23" i="7" l="1"/>
  <c r="Q38" i="7"/>
  <c r="Q40" i="7" s="1"/>
  <c r="Q43" i="7" s="1"/>
  <c r="Q45" i="7" s="1"/>
  <c r="Q47" i="7" s="1"/>
  <c r="Q48" i="7" s="1"/>
  <c r="R29" i="9"/>
  <c r="R32" i="9" l="1"/>
  <c r="R34" i="9" s="1"/>
  <c r="R35" i="9" s="1"/>
  <c r="R36" i="9" s="1"/>
  <c r="R30" i="9"/>
  <c r="S26" i="9"/>
  <c r="S28" i="9" s="1"/>
  <c r="R61" i="8"/>
  <c r="R63" i="8" s="1"/>
  <c r="R64" i="8" s="1"/>
  <c r="R66" i="8" s="1"/>
  <c r="R35" i="7"/>
  <c r="R37" i="7" s="1"/>
  <c r="R25" i="7"/>
  <c r="R26" i="7" s="1"/>
  <c r="S22" i="7" s="1"/>
  <c r="S23" i="7" l="1"/>
  <c r="R38" i="7"/>
  <c r="R40" i="7" s="1"/>
  <c r="R43" i="7" s="1"/>
  <c r="R45" i="7" s="1"/>
  <c r="R47" i="7" s="1"/>
  <c r="R48" i="7" s="1"/>
  <c r="S29" i="9"/>
  <c r="S32" i="9" l="1"/>
  <c r="S34" i="9" s="1"/>
  <c r="S35" i="9" s="1"/>
  <c r="S36" i="9" s="1"/>
  <c r="S30" i="9"/>
  <c r="T26" i="9"/>
  <c r="T28" i="9" s="1"/>
  <c r="S61" i="8"/>
  <c r="S63" i="8" s="1"/>
  <c r="S64" i="8" s="1"/>
  <c r="S66" i="8" s="1"/>
  <c r="S35" i="7"/>
  <c r="S37" i="7" s="1"/>
  <c r="S25" i="7"/>
  <c r="S26" i="7" s="1"/>
  <c r="T22" i="7" s="1"/>
  <c r="T23" i="7" l="1"/>
  <c r="T29" i="9"/>
  <c r="S38" i="7"/>
  <c r="S40" i="7" s="1"/>
  <c r="S43" i="7" s="1"/>
  <c r="S45" i="7" s="1"/>
  <c r="S47" i="7" s="1"/>
  <c r="S48" i="7" s="1"/>
  <c r="T32" i="9" l="1"/>
  <c r="T34" i="9" s="1"/>
  <c r="T35" i="9" s="1"/>
  <c r="T36" i="9" s="1"/>
  <c r="T30" i="9"/>
  <c r="U26" i="9"/>
  <c r="U28" i="9" s="1"/>
  <c r="T35" i="7"/>
  <c r="T37" i="7" s="1"/>
  <c r="T61" i="8"/>
  <c r="T63" i="8" s="1"/>
  <c r="T64" i="8" s="1"/>
  <c r="T66" i="8" s="1"/>
  <c r="T25" i="7"/>
  <c r="T26" i="7" s="1"/>
  <c r="T27" i="7" l="1"/>
  <c r="U22" i="7"/>
  <c r="U29" i="9"/>
  <c r="T38" i="7"/>
  <c r="T40" i="7" s="1"/>
  <c r="T43" i="7" s="1"/>
  <c r="T45" i="7" s="1"/>
  <c r="T47" i="7" l="1"/>
  <c r="T48" i="7" s="1"/>
  <c r="C50" i="7"/>
  <c r="C49" i="7"/>
  <c r="C11" i="7" s="1"/>
  <c r="U23" i="7"/>
  <c r="U32" i="9"/>
  <c r="U34" i="9" s="1"/>
  <c r="U35" i="9" s="1"/>
  <c r="U36" i="9" s="1"/>
  <c r="U30" i="9"/>
  <c r="C66" i="1" l="1"/>
  <c r="C12" i="7"/>
  <c r="C65" i="1"/>
  <c r="E65" i="1" s="1"/>
  <c r="V26" i="9"/>
  <c r="V28" i="9" s="1"/>
  <c r="U35" i="7"/>
  <c r="U37" i="7" s="1"/>
  <c r="U61" i="8"/>
  <c r="U63" i="8" s="1"/>
  <c r="U64" i="8" s="1"/>
  <c r="U66" i="8" s="1"/>
  <c r="U25" i="7"/>
  <c r="U26" i="7" s="1"/>
  <c r="V22" i="7" s="1"/>
  <c r="V23" i="7" l="1"/>
  <c r="V29" i="9"/>
  <c r="U38" i="7"/>
  <c r="U40" i="7" s="1"/>
  <c r="U43" i="7" s="1"/>
  <c r="V32" i="9" l="1"/>
  <c r="V34" i="9" s="1"/>
  <c r="V35" i="9" s="1"/>
  <c r="V36" i="9" s="1"/>
  <c r="V30" i="9"/>
  <c r="W26" i="9"/>
  <c r="W28" i="9" s="1"/>
  <c r="V61" i="8"/>
  <c r="V63" i="8" s="1"/>
  <c r="V64" i="8" s="1"/>
  <c r="V66" i="8" s="1"/>
  <c r="V35" i="7"/>
  <c r="V37" i="7" s="1"/>
  <c r="V25" i="7"/>
  <c r="V26" i="7" s="1"/>
  <c r="W22" i="7" s="1"/>
  <c r="W23" i="7" l="1"/>
  <c r="V38" i="7"/>
  <c r="V40" i="7" s="1"/>
  <c r="V43" i="7" s="1"/>
  <c r="W29" i="9"/>
  <c r="W32" i="9" l="1"/>
  <c r="W34" i="9" s="1"/>
  <c r="W35" i="9" s="1"/>
  <c r="W36" i="9" s="1"/>
  <c r="W30" i="9"/>
  <c r="W61" i="8"/>
  <c r="W63" i="8" s="1"/>
  <c r="W64" i="8" s="1"/>
  <c r="W66" i="8" s="1"/>
  <c r="W35" i="7"/>
  <c r="W37" i="7" s="1"/>
  <c r="X26" i="9"/>
  <c r="X28" i="9" s="1"/>
  <c r="W25" i="7"/>
  <c r="W26" i="7" s="1"/>
  <c r="X22" i="7" s="1"/>
  <c r="X23" i="7" l="1"/>
  <c r="W38" i="7"/>
  <c r="W40" i="7" s="1"/>
  <c r="W43" i="7" s="1"/>
  <c r="X29" i="9"/>
  <c r="X32" i="9" l="1"/>
  <c r="X34" i="9" s="1"/>
  <c r="X35" i="9" s="1"/>
  <c r="X36" i="9" s="1"/>
  <c r="X30" i="9"/>
  <c r="X61" i="8"/>
  <c r="X63" i="8" s="1"/>
  <c r="X64" i="8" s="1"/>
  <c r="X66" i="8" s="1"/>
  <c r="X35" i="7"/>
  <c r="X37" i="7" s="1"/>
  <c r="Y26" i="9"/>
  <c r="Y28" i="9" s="1"/>
  <c r="X25" i="7"/>
  <c r="X26" i="7" s="1"/>
  <c r="Y22" i="7" s="1"/>
  <c r="Y23" i="7" l="1"/>
  <c r="X38" i="7"/>
  <c r="X40" i="7" s="1"/>
  <c r="X43" i="7" s="1"/>
  <c r="Y29" i="9"/>
  <c r="Y61" i="8" l="1"/>
  <c r="Y63" i="8" s="1"/>
  <c r="Y64" i="8" s="1"/>
  <c r="Y66" i="8" s="1"/>
  <c r="Y35" i="7"/>
  <c r="Y37" i="7" s="1"/>
  <c r="Z26" i="9"/>
  <c r="Z28" i="9" s="1"/>
  <c r="Y25" i="7"/>
  <c r="Y26" i="7" s="1"/>
  <c r="Z22" i="7" s="1"/>
  <c r="Y32" i="9"/>
  <c r="Y34" i="9" s="1"/>
  <c r="Y35" i="9" s="1"/>
  <c r="Y36" i="9" s="1"/>
  <c r="Y30" i="9"/>
  <c r="Z23" i="7" l="1"/>
  <c r="Y38" i="7"/>
  <c r="Y40" i="7" s="1"/>
  <c r="Y43" i="7" s="1"/>
  <c r="Z29" i="9"/>
  <c r="Z32" i="9" l="1"/>
  <c r="Z34" i="9" s="1"/>
  <c r="Z35" i="9" s="1"/>
  <c r="Z36" i="9" s="1"/>
  <c r="Z30" i="9"/>
  <c r="Z35" i="7"/>
  <c r="Z37" i="7" s="1"/>
  <c r="Z61" i="8"/>
  <c r="Z63" i="8" s="1"/>
  <c r="Z64" i="8" s="1"/>
  <c r="Z66" i="8" s="1"/>
  <c r="AA26" i="9"/>
  <c r="AA28" i="9" s="1"/>
  <c r="Z25" i="7"/>
  <c r="Z26" i="7" s="1"/>
  <c r="AA22" i="7" s="1"/>
  <c r="AA23" i="7" l="1"/>
  <c r="Z38" i="7"/>
  <c r="Z40" i="7" s="1"/>
  <c r="Z43" i="7" s="1"/>
  <c r="AA29" i="9"/>
  <c r="AA61" i="8" l="1"/>
  <c r="AA63" i="8" s="1"/>
  <c r="AA64" i="8" s="1"/>
  <c r="AA66" i="8" s="1"/>
  <c r="AA35" i="7"/>
  <c r="AA37" i="7" s="1"/>
  <c r="AB26" i="9"/>
  <c r="AB28" i="9" s="1"/>
  <c r="AA25" i="7"/>
  <c r="AA26" i="7" s="1"/>
  <c r="AB22" i="7" s="1"/>
  <c r="AA32" i="9"/>
  <c r="AA34" i="9" s="1"/>
  <c r="AA35" i="9" s="1"/>
  <c r="AA36" i="9" s="1"/>
  <c r="AA30" i="9"/>
  <c r="AB23" i="7" l="1"/>
  <c r="AB29" i="9"/>
  <c r="AA38" i="7"/>
  <c r="AA40" i="7" s="1"/>
  <c r="AA43" i="7" s="1"/>
  <c r="AB32" i="9" l="1"/>
  <c r="AB34" i="9" s="1"/>
  <c r="AB35" i="9" s="1"/>
  <c r="AB36" i="9" s="1"/>
  <c r="AB30" i="9"/>
  <c r="AB61" i="8"/>
  <c r="AB63" i="8" s="1"/>
  <c r="AB64" i="8" s="1"/>
  <c r="AB66" i="8" s="1"/>
  <c r="AB35" i="7"/>
  <c r="AB37" i="7" s="1"/>
  <c r="AC26" i="9"/>
  <c r="AC28" i="9" s="1"/>
  <c r="AB25" i="7"/>
  <c r="AB26" i="7" s="1"/>
  <c r="AC22" i="7" s="1"/>
  <c r="AC23" i="7" l="1"/>
  <c r="AC29" i="9"/>
  <c r="AB38" i="7"/>
  <c r="AB40" i="7" s="1"/>
  <c r="AB43" i="7" s="1"/>
  <c r="AC61" i="8" l="1"/>
  <c r="AC63" i="8" s="1"/>
  <c r="AC64" i="8" s="1"/>
  <c r="AC66" i="8" s="1"/>
  <c r="AC35" i="7"/>
  <c r="AC37" i="7" s="1"/>
  <c r="AD26" i="9"/>
  <c r="AD28" i="9" s="1"/>
  <c r="AC25" i="7"/>
  <c r="AC26" i="7" s="1"/>
  <c r="AD22" i="7" s="1"/>
  <c r="AC32" i="9"/>
  <c r="AC34" i="9" s="1"/>
  <c r="AC35" i="9" s="1"/>
  <c r="AC36" i="9" s="1"/>
  <c r="AC30" i="9"/>
  <c r="AD23" i="7" l="1"/>
  <c r="AC38" i="7"/>
  <c r="AC40" i="7" s="1"/>
  <c r="AC43" i="7" s="1"/>
  <c r="AD29" i="9"/>
  <c r="AD61" i="8" l="1"/>
  <c r="AD63" i="8" s="1"/>
  <c r="AD64" i="8" s="1"/>
  <c r="AD66" i="8" s="1"/>
  <c r="AE26" i="9"/>
  <c r="AE28" i="9" s="1"/>
  <c r="AD35" i="7"/>
  <c r="AD37" i="7" s="1"/>
  <c r="AD25" i="7"/>
  <c r="AD26" i="7" s="1"/>
  <c r="AE22" i="7" s="1"/>
  <c r="AD32" i="9"/>
  <c r="AD34" i="9" s="1"/>
  <c r="AD35" i="9" s="1"/>
  <c r="AD36" i="9" s="1"/>
  <c r="AD30" i="9"/>
  <c r="AE23" i="7" l="1"/>
  <c r="AD38" i="7"/>
  <c r="AD40" i="7" s="1"/>
  <c r="AD43" i="7" s="1"/>
  <c r="AE29" i="9"/>
  <c r="AE32" i="9" l="1"/>
  <c r="AE34" i="9" s="1"/>
  <c r="AE35" i="9" s="1"/>
  <c r="AE36" i="9" s="1"/>
  <c r="AE30" i="9"/>
  <c r="AE61" i="8"/>
  <c r="AE63" i="8" s="1"/>
  <c r="AE64" i="8" s="1"/>
  <c r="AE66" i="8" s="1"/>
  <c r="AF26" i="9"/>
  <c r="AF28" i="9" s="1"/>
  <c r="AE35" i="7"/>
  <c r="AE37" i="7" s="1"/>
  <c r="AE25" i="7"/>
  <c r="AE26" i="7" s="1"/>
  <c r="AF22" i="7" s="1"/>
  <c r="AF23" i="7" l="1"/>
  <c r="AF29" i="9"/>
  <c r="AE38" i="7"/>
  <c r="AE40" i="7" s="1"/>
  <c r="AE43" i="7" s="1"/>
  <c r="AF32" i="9" l="1"/>
  <c r="AF34" i="9" s="1"/>
  <c r="AF35" i="9" s="1"/>
  <c r="AF36" i="9" s="1"/>
  <c r="AF30" i="9"/>
  <c r="AF35" i="7"/>
  <c r="AF37" i="7" s="1"/>
  <c r="AG26" i="9"/>
  <c r="AG28" i="9" s="1"/>
  <c r="AF61" i="8"/>
  <c r="AF63" i="8" s="1"/>
  <c r="AF64" i="8" s="1"/>
  <c r="AF66" i="8" s="1"/>
  <c r="AF25" i="7"/>
  <c r="AF26" i="7" s="1"/>
  <c r="AG29" i="9" l="1"/>
  <c r="AF38" i="7"/>
  <c r="AF40" i="7" s="1"/>
  <c r="AF43" i="7" s="1"/>
  <c r="AG32" i="9" l="1"/>
  <c r="AG34" i="9" s="1"/>
  <c r="AG35" i="9" s="1"/>
  <c r="AG30" i="9"/>
  <c r="C56" i="9" s="1"/>
  <c r="C55" i="9"/>
  <c r="C57" i="1" l="1"/>
  <c r="C56" i="1"/>
  <c r="C42" i="9"/>
  <c r="C51" i="9" s="1"/>
  <c r="C37" i="9"/>
  <c r="C48" i="9" s="1"/>
  <c r="C38" i="9"/>
  <c r="AG36" i="9"/>
  <c r="C43" i="9" s="1" a="1"/>
  <c r="C43" i="9" s="1"/>
  <c r="C52" i="9" s="1"/>
  <c r="C53" i="1" l="1"/>
  <c r="E53" i="1" s="1"/>
  <c r="C17" i="10"/>
  <c r="C21" i="10" s="1"/>
  <c r="C50" i="1"/>
  <c r="C50" i="9"/>
  <c r="C52" i="1"/>
  <c r="E52" i="1" s="1"/>
  <c r="C54" i="1"/>
  <c r="E54" i="1" s="1"/>
  <c r="C97" i="1" l="1"/>
  <c r="E97" i="1" s="1"/>
  <c r="C51" i="1"/>
  <c r="E50" i="1"/>
</calcChain>
</file>

<file path=xl/sharedStrings.xml><?xml version="1.0" encoding="utf-8"?>
<sst xmlns="http://schemas.openxmlformats.org/spreadsheetml/2006/main" count="978" uniqueCount="624">
  <si>
    <t>100 MWac Solar PV  +  50 MW / 200 MWh BESS  |  CAISO SP15</t>
  </si>
  <si>
    <t>Project Finance Model  ·  Base Case Dashboard  ·  April 2026</t>
  </si>
  <si>
    <t>1  —  Project Summary</t>
  </si>
  <si>
    <t>Core project parameters and contractual framework</t>
  </si>
  <si>
    <t>Parameter</t>
  </si>
  <si>
    <t>Value</t>
  </si>
  <si>
    <t>Notes / Source</t>
  </si>
  <si>
    <t>Technology</t>
  </si>
  <si>
    <t>Single-axis tracking PV + AC-coupled Li-ion BESS</t>
  </si>
  <si>
    <t>Developer assumption</t>
  </si>
  <si>
    <t>Location / Market</t>
  </si>
  <si>
    <t>CAISO SP15  —  Southern California</t>
  </si>
  <si>
    <t>CAISO interconnection queue</t>
  </si>
  <si>
    <t>Solar Capacity</t>
  </si>
  <si>
    <t>100 MWac  /  120 MWdc  (DC:AC 1.2x)</t>
  </si>
  <si>
    <t>Storage Capacity</t>
  </si>
  <si>
    <t>50 MW  /  200 MWh  (4-hour duration)</t>
  </si>
  <si>
    <t>P50 Capacity Factor</t>
  </si>
  <si>
    <t>27%  (AC basis)</t>
  </si>
  <si>
    <t>NREL NSRDB — SP15 region</t>
  </si>
  <si>
    <t>P90 Capacity Factor</t>
  </si>
  <si>
    <t>24%  (AC basis)</t>
  </si>
  <si>
    <t>Project Life</t>
  </si>
  <si>
    <t>30 years</t>
  </si>
  <si>
    <t>COD Assumption</t>
  </si>
  <si>
    <t>Year 1 of model (no construction period)</t>
  </si>
  <si>
    <t>Simplification — see Limitations</t>
  </si>
  <si>
    <t>PPA Term / Price</t>
  </si>
  <si>
    <t>20 years  /  $50/MWh Year 1  (1.0%/yr escalator)</t>
  </si>
  <si>
    <t>LBNL Utility-Scale Solar 2024</t>
  </si>
  <si>
    <t>Post-PPA Merchant</t>
  </si>
  <si>
    <t>$35/MWh flat real  (Years 21–30)</t>
  </si>
  <si>
    <t>Conservative flat assumption</t>
  </si>
  <si>
    <t>Tax Credit</t>
  </si>
  <si>
    <t>ITC — Section 48E  /  30%  /  PWA compliant</t>
  </si>
  <si>
    <t>IRA Section 48E; IRS guidance</t>
  </si>
  <si>
    <t>ITC Transfer Price</t>
  </si>
  <si>
    <t>92.5¢ per dollar</t>
  </si>
  <si>
    <t>Norton Rose Tax Equity Outlook 2024</t>
  </si>
  <si>
    <t>2  —  Sources and Uses</t>
  </si>
  <si>
    <t>Total project cost and financing structure at financial close</t>
  </si>
  <si>
    <t>USES</t>
  </si>
  <si>
    <t>Amount ($)</t>
  </si>
  <si>
    <t>% of Total</t>
  </si>
  <si>
    <t>SOURCES</t>
  </si>
  <si>
    <t>Solar EPC Cost</t>
  </si>
  <si>
    <t>Senior Debt</t>
  </si>
  <si>
    <t>BESS EPC Cost</t>
  </si>
  <si>
    <t>ITC Cash Proceeds</t>
  </si>
  <si>
    <t>Interconnection</t>
  </si>
  <si>
    <t>Equity Contribution</t>
  </si>
  <si>
    <t>Total Project Cost</t>
  </si>
  <si>
    <t>Total Sources</t>
  </si>
  <si>
    <t>Check:  Uses − Sources</t>
  </si>
  <si>
    <t>3  —  Key Returns</t>
  </si>
  <si>
    <t>Project and equity returns, debt metrics, and LCOE benchmarks</t>
  </si>
  <si>
    <t>Project Returns  (Unlevered)</t>
  </si>
  <si>
    <t>Metric</t>
  </si>
  <si>
    <t>Benchmark / Target</t>
  </si>
  <si>
    <t>Status</t>
  </si>
  <si>
    <t>Project IRR (%)</t>
  </si>
  <si>
    <t>&gt; 7.0% (debt cost)</t>
  </si>
  <si>
    <t>Project NPV at 7% ($)</t>
  </si>
  <si>
    <t>&gt; $0</t>
  </si>
  <si>
    <t>Total 30-Year Revenue ($)</t>
  </si>
  <si>
    <t>—</t>
  </si>
  <si>
    <t>Total 30-Year Opex ($)</t>
  </si>
  <si>
    <t>Equity Returns  (Levered)</t>
  </si>
  <si>
    <t>Equity IRR (%)</t>
  </si>
  <si>
    <t>Target: 12.0%</t>
  </si>
  <si>
    <t>Gap to 12% Target</t>
  </si>
  <si>
    <t>Min viable PPA: $55.42/MWh</t>
  </si>
  <si>
    <t>Equity NPV at 12% ($)</t>
  </si>
  <si>
    <t>&gt; $0 at target IRR</t>
  </si>
  <si>
    <t>Equity Multiple (x)</t>
  </si>
  <si>
    <t>Target: &gt; 2.0x</t>
  </si>
  <si>
    <t>Payback Period (years)</t>
  </si>
  <si>
    <t>Target: &lt; 20 yrs</t>
  </si>
  <si>
    <t>Total Debt Service ($)</t>
  </si>
  <si>
    <t>Total Interest Tax Shield ($)</t>
  </si>
  <si>
    <t>Debt Metrics</t>
  </si>
  <si>
    <t>Debt Amount ($)</t>
  </si>
  <si>
    <t>DSCR-constrained</t>
  </si>
  <si>
    <t>Leverage (%)</t>
  </si>
  <si>
    <t>Max 65%  (leverage cap)</t>
  </si>
  <si>
    <t>Binding Constraint</t>
  </si>
  <si>
    <t>Annual Debt Service ($)</t>
  </si>
  <si>
    <t>Debt Tenor  /  Rate</t>
  </si>
  <si>
    <t>NREL ATB 2024</t>
  </si>
  <si>
    <t>Minimum DSCR (x)</t>
  </si>
  <si>
    <t>Covenant: 1.30x</t>
  </si>
  <si>
    <t>Average DSCR (x)</t>
  </si>
  <si>
    <t>P90 DSCR  Year 1 (x)</t>
  </si>
  <si>
    <t>Floor: 1.10x</t>
  </si>
  <si>
    <t>4  —  Revenue and Cost Breakdown</t>
  </si>
  <si>
    <t>Year 1 revenue mix and operating cost structure</t>
  </si>
  <si>
    <t>Year 1 Revenue  ($17,720,254 total)</t>
  </si>
  <si>
    <t>Revenue Stream</t>
  </si>
  <si>
    <t>Year 1 ($)</t>
  </si>
  <si>
    <t>BESS Revenue Detail</t>
  </si>
  <si>
    <t>Solar Energy Revenue (PPA)</t>
  </si>
  <si>
    <t>Contract: $50/MWh × 223,653 MWh</t>
  </si>
  <si>
    <t>BESS Energy Arbitrage</t>
  </si>
  <si>
    <t>$38.48/MWh net spread × 56,466 MWh</t>
  </si>
  <si>
    <t>BESS Resource Adequacy</t>
  </si>
  <si>
    <t>45 MW × $6/kW-month × 12</t>
  </si>
  <si>
    <t>BESS Ancillary Services</t>
  </si>
  <si>
    <t>15 MW × $75/kW-year</t>
  </si>
  <si>
    <t>Total Year 1 Revenue</t>
  </si>
  <si>
    <t>Year 1 Operating Costs  ($4,480,250 total  /  25.3% of revenue)</t>
  </si>
  <si>
    <t>Cost Item</t>
  </si>
  <si>
    <t>% of Revenue</t>
  </si>
  <si>
    <t>Solar Fixed O&amp;M</t>
  </si>
  <si>
    <t>BESS Fixed O&amp;M</t>
  </si>
  <si>
    <t>Land Lease</t>
  </si>
  <si>
    <t>Insurance</t>
  </si>
  <si>
    <t>Asset Management Fee</t>
  </si>
  <si>
    <t>Transmission / CAISO Fees</t>
  </si>
  <si>
    <t>Total Year 1 Opex</t>
  </si>
  <si>
    <t>Year 1 EBITDA</t>
  </si>
  <si>
    <t>5  —  LCOE and Commercial Viability</t>
  </si>
  <si>
    <t>Levelized cost benchmarking and minimum viable PPA price analysis</t>
  </si>
  <si>
    <t>Benchmark / Range</t>
  </si>
  <si>
    <t>Solar LCOE  ($/MWh)</t>
  </si>
  <si>
    <t>Reference only</t>
  </si>
  <si>
    <t>System LCOE  ($/MWh)</t>
  </si>
  <si>
    <t>Lazard v18:  $50–$131/MWh</t>
  </si>
  <si>
    <t>Current PPA Price  ($/MWh)</t>
  </si>
  <si>
    <t>LBNL market:  $40–$65/MWh</t>
  </si>
  <si>
    <t>Min Viable PPA Price  ($/MWh)</t>
  </si>
  <si>
    <t>Gap to 12% Equity IRR Target</t>
  </si>
  <si>
    <t>Requires +$5.42/MWh on PPA</t>
  </si>
  <si>
    <t>6  —  Key Assumptions Reference</t>
  </si>
  <si>
    <t>All assumptions sourced — see INPUTS tab for full citation detail</t>
  </si>
  <si>
    <t>Resource</t>
  </si>
  <si>
    <t>Source</t>
  </si>
  <si>
    <t>NREL NSRDB / SAM — SP15</t>
  </si>
  <si>
    <t>NREL NSRDB</t>
  </si>
  <si>
    <t>Solar Degradation</t>
  </si>
  <si>
    <t>NREL PV Reliability Roadmap</t>
  </si>
  <si>
    <t>BESS Degradation</t>
  </si>
  <si>
    <t>BESS Cycles / Day</t>
  </si>
  <si>
    <t>Simplified dispatch assumption</t>
  </si>
  <si>
    <t>Curtailment Rate</t>
  </si>
  <si>
    <t>BESS Round-Trip Eff.</t>
  </si>
  <si>
    <t>Standard Li-ion assumption</t>
  </si>
  <si>
    <t>Costs</t>
  </si>
  <si>
    <t>Solar EPC</t>
  </si>
  <si>
    <t>NREL ATB 2024 (California adj.)</t>
  </si>
  <si>
    <t>BESS EPC</t>
  </si>
  <si>
    <t>NREL ATB 2024 / 2024 market data</t>
  </si>
  <si>
    <t>Developer assumption — wide uncertainty</t>
  </si>
  <si>
    <t>Opex Escalator</t>
  </si>
  <si>
    <t>Inflation proxy</t>
  </si>
  <si>
    <t>Revenue</t>
  </si>
  <si>
    <t>PPA Price Year 1</t>
  </si>
  <si>
    <t>PPA Escalator</t>
  </si>
  <si>
    <t>Market convention</t>
  </si>
  <si>
    <t>PPA Term</t>
  </si>
  <si>
    <t>Merchant Price</t>
  </si>
  <si>
    <t>Conservative assumption</t>
  </si>
  <si>
    <t>BESS Discharge Price</t>
  </si>
  <si>
    <t>SP15 evening peak proxy</t>
  </si>
  <si>
    <t>Grid Purchase Price</t>
  </si>
  <si>
    <t>SP15 off-peak proxy</t>
  </si>
  <si>
    <t>RA Price</t>
  </si>
  <si>
    <t>CPUC RA proceedings</t>
  </si>
  <si>
    <t>RA Accreditation</t>
  </si>
  <si>
    <t>CAISO ELCC methodology</t>
  </si>
  <si>
    <t>Ancillary Services</t>
  </si>
  <si>
    <t>CAISO market — regulation + FRP</t>
  </si>
  <si>
    <t>Tax</t>
  </si>
  <si>
    <t>Credit Election</t>
  </si>
  <si>
    <t>Norton Rose 2024</t>
  </si>
  <si>
    <t>MACRS Schedule</t>
  </si>
  <si>
    <t>IRS Publication 946</t>
  </si>
  <si>
    <t>Corporate Tax Rate</t>
  </si>
  <si>
    <t>Tax Cuts and Jobs Act 2017</t>
  </si>
  <si>
    <t>Financing</t>
  </si>
  <si>
    <t>Debt Interest Rate</t>
  </si>
  <si>
    <t>NREL ATB 2024 + 2.5% inflation</t>
  </si>
  <si>
    <t>Debt Tenor</t>
  </si>
  <si>
    <t>Min DSCR Covenant</t>
  </si>
  <si>
    <t>Max Leverage</t>
  </si>
  <si>
    <t>Project Discount Rate</t>
  </si>
  <si>
    <t>NREL ATB 2024 Financial Cases</t>
  </si>
  <si>
    <t>Target Equity IRR</t>
  </si>
  <si>
    <t>Developer return threshold</t>
  </si>
  <si>
    <t>⚠  Note on Tax Credit Election:  Model elects ITC per INPUTS tab.  TAX tab Block 4 comparison shows PTC is the NPV-optimal election (PTC total value $74.9M vs. ITC $69.9M).  ITC is modeled to demonstrate upfront cash proceeds mechanics.  See TAX tab for full comparison.</t>
  </si>
  <si>
    <t>All values are model outputs and for illustrative purposes only.  Sources: NREL ATB 2024 · Lazard LCOE v18.0 (2025) · LBNL Utility-Scale Solar 2024 · FERC Energy Primer 2024 · Norton Rose Tax Equity Outlook 2024 · IRS Publication 946  ·  Model version 1.0  ·  Last updated: April 2026</t>
  </si>
  <si>
    <t>INPUTS  —  All Model Assumptions  ·  100 MWac Solar PV + 50 MW/200 MWh BESS  ·  CAISO SP15</t>
  </si>
  <si>
    <t>Category</t>
  </si>
  <si>
    <t>Variable Name</t>
  </si>
  <si>
    <t>Unit</t>
  </si>
  <si>
    <t>Source Citation</t>
  </si>
  <si>
    <t>Notes</t>
  </si>
  <si>
    <t>General Assumptions</t>
  </si>
  <si>
    <t>N/A</t>
  </si>
  <si>
    <t>Location Proxy</t>
  </si>
  <si>
    <t>Years</t>
  </si>
  <si>
    <t>PV Assumptions</t>
  </si>
  <si>
    <t xml:space="preserve">Solar Capacity (MWac)  </t>
  </si>
  <si>
    <t>MWac</t>
  </si>
  <si>
    <t xml:space="preserve">Solar Capacity (MWdc)  </t>
  </si>
  <si>
    <t>MWdc</t>
  </si>
  <si>
    <t>AC basis</t>
  </si>
  <si>
    <t>P50 is the base case and represents the energy production level that has a 50% probability of being exceeded in any given year.</t>
  </si>
  <si>
    <t>P90 is the lender case and represents the energy production level that has a 90% probability of being exceeded in any given year. Used for minimum DSCR calculation.</t>
  </si>
  <si>
    <t>Degradation Rate</t>
  </si>
  <si>
    <t>%</t>
  </si>
  <si>
    <t>Availability / Downtime Loss</t>
  </si>
  <si>
    <t>Curtailment Losses</t>
  </si>
  <si>
    <t>Hours per Year</t>
  </si>
  <si>
    <t>Hours</t>
  </si>
  <si>
    <t>BESS Assumptions</t>
  </si>
  <si>
    <t>BESS Power Rating</t>
  </si>
  <si>
    <t>MW</t>
  </si>
  <si>
    <t>BESS Storage Capacity</t>
  </si>
  <si>
    <t>MWh</t>
  </si>
  <si>
    <t>BESS Cycles per Day</t>
  </si>
  <si>
    <t>cycles/day</t>
  </si>
  <si>
    <t>BESS Round-Trip Efficiency (RTE)</t>
  </si>
  <si>
    <t>BESS Degradation Rate</t>
  </si>
  <si>
    <t>Days per Year</t>
  </si>
  <si>
    <t>Days</t>
  </si>
  <si>
    <t>Revenue Assumptions</t>
  </si>
  <si>
    <t>PV</t>
  </si>
  <si>
    <t>PPA Price (Year 1)</t>
  </si>
  <si>
    <t>$/MWh</t>
  </si>
  <si>
    <t>Post-PPA Revenue (Merchant Price)</t>
  </si>
  <si>
    <t>Merchant: conservative proxy for years 21-30</t>
  </si>
  <si>
    <t>Discharge Price - Year 1</t>
  </si>
  <si>
    <t>Discharge Price Escalator Rate</t>
  </si>
  <si>
    <t>% per year</t>
  </si>
  <si>
    <t>Price growth assumption</t>
  </si>
  <si>
    <t>Grid Purchase Price (Charging Cost)</t>
  </si>
  <si>
    <t>Grid Purchase Price Escalator</t>
  </si>
  <si>
    <t>BESS Capacity Allocated to Arbitrage</t>
  </si>
  <si>
    <t>BESS Accredited Capacity</t>
  </si>
  <si>
    <t>90% of 50 MW nameplate; sensitivity ±20% for accreditation risk</t>
  </si>
  <si>
    <t>RA Price (Year 1)</t>
  </si>
  <si>
    <t>$/kW-month</t>
  </si>
  <si>
    <t>RA Escalator Rate</t>
  </si>
  <si>
    <t>Ancillary Services Revenue — Year 1</t>
  </si>
  <si>
    <t>$/kW-year</t>
  </si>
  <si>
    <t>Ancillary Services Escalator Rate</t>
  </si>
  <si>
    <t>BESS Capacity Allocated to Ancillary Services</t>
  </si>
  <si>
    <t>CHECK CAPACITY ALLOCATION</t>
  </si>
  <si>
    <t>Cost Assumptions</t>
  </si>
  <si>
    <t>Capex</t>
  </si>
  <si>
    <t>$/Wdc</t>
  </si>
  <si>
    <t>$/kWh</t>
  </si>
  <si>
    <t>Interconnection Cost</t>
  </si>
  <si>
    <t>$M</t>
  </si>
  <si>
    <t>Development Costs</t>
  </si>
  <si>
    <t>Owner's Contingency</t>
  </si>
  <si>
    <t>% of hard costs</t>
  </si>
  <si>
    <t>Financing Costs</t>
  </si>
  <si>
    <t>Opex</t>
  </si>
  <si>
    <t>$/kWac-year</t>
  </si>
  <si>
    <t>$/kWh-year</t>
  </si>
  <si>
    <t>Land Lease Rate</t>
  </si>
  <si>
    <t>$/acre-year</t>
  </si>
  <si>
    <t>Land Area</t>
  </si>
  <si>
    <t>acres</t>
  </si>
  <si>
    <t>Insurance Rate</t>
  </si>
  <si>
    <t>% of Capex/year</t>
  </si>
  <si>
    <t>$K/year</t>
  </si>
  <si>
    <t>$M/year</t>
  </si>
  <si>
    <t>Opex Escalator Rate</t>
  </si>
  <si>
    <t>Debt Assumptions</t>
  </si>
  <si>
    <t>Minimum DSCR Covenant</t>
  </si>
  <si>
    <t>x</t>
  </si>
  <si>
    <t>Target Debt Ratio</t>
  </si>
  <si>
    <t>Maximum Leverage</t>
  </si>
  <si>
    <t>Market convention — lender hard cap</t>
  </si>
  <si>
    <t>Tax Assumptions</t>
  </si>
  <si>
    <t>PWA Compliance</t>
  </si>
  <si>
    <t>YES</t>
  </si>
  <si>
    <t>Toggle YES/No - drives credit rate</t>
  </si>
  <si>
    <t>Optimal Tax Credit Election</t>
  </si>
  <si>
    <t>Tax Credit Election</t>
  </si>
  <si>
    <t>ITC</t>
  </si>
  <si>
    <t>Override toggle — defaults to model optimal</t>
  </si>
  <si>
    <t>Section 45Y PTC Rate - w/o PWA</t>
  </si>
  <si>
    <t>Section 45Y PTC Rate - w/ PWA</t>
  </si>
  <si>
    <t>PTC Rate Applied</t>
  </si>
  <si>
    <t>PTC Transfer Price</t>
  </si>
  <si>
    <t>$</t>
  </si>
  <si>
    <t>PTC Inflation Escalator</t>
  </si>
  <si>
    <t>Section 48E ITC Rate - w/o PWA</t>
  </si>
  <si>
    <t xml:space="preserve">Section 48E ITC Rate - w/ PWA </t>
  </si>
  <si>
    <t>ITC Rate Applied</t>
  </si>
  <si>
    <t>MACRS Year 1</t>
  </si>
  <si>
    <t>MACRS Year 2</t>
  </si>
  <si>
    <t>MACRS Year 3</t>
  </si>
  <si>
    <t>MACRS Year 4</t>
  </si>
  <si>
    <t>MACRS Year 5</t>
  </si>
  <si>
    <t>MACRS Year 6</t>
  </si>
  <si>
    <t>MACRS Check</t>
  </si>
  <si>
    <t>Discount Rate / Returns Assumptions</t>
  </si>
  <si>
    <t>Project Discount Rate (LCOE)</t>
  </si>
  <si>
    <t>ENERGY  —  Annual Production Schedule  ·  Solar Loss Waterfall + BESS Dispatch  ·  Years 1–30</t>
  </si>
  <si>
    <t>Year N Production</t>
  </si>
  <si>
    <t>Gross Solar Production (MWh) - Pre-Degradation</t>
  </si>
  <si>
    <t>PV Degradation Factor (Year N)</t>
  </si>
  <si>
    <t>Gross Solar Production (MWh) - Post-Degradation</t>
  </si>
  <si>
    <t>Availability Loss (MWh)</t>
  </si>
  <si>
    <t>Production After Availability</t>
  </si>
  <si>
    <t>Curtailment Loss (MWh)</t>
  </si>
  <si>
    <t>Net Delivered Production (MWh)</t>
  </si>
  <si>
    <t>BESS Gross Throughput (MWh) - Pre-Degradation</t>
  </si>
  <si>
    <t>BESS Degradation Factor (Year N)</t>
  </si>
  <si>
    <t>BESS Gross Throughput (MWh) - Post-Degradation</t>
  </si>
  <si>
    <t>Curtailment Energy Available for BESS Charging (MWh)</t>
  </si>
  <si>
    <t>Grid Charging Available (MWh)</t>
  </si>
  <si>
    <t>BESS Gross Throughput - Constrained (MWh)</t>
  </si>
  <si>
    <t>Round-Trip Efficiency Loss (MWh)</t>
  </si>
  <si>
    <t>BESS Net Discharge (MWh)</t>
  </si>
  <si>
    <t>REVENUE  —  Solar Energy · BESS Arbitrage · Resource Adequacy · Ancillary Services  ·  Years 1–30</t>
  </si>
  <si>
    <t>Solar Energy Revenue</t>
  </si>
  <si>
    <t>Net Delivered Solar Production (MWh)</t>
  </si>
  <si>
    <t>PPA Price — Year 1 ($/MWh)</t>
  </si>
  <si>
    <t>PPA Escalator Factor</t>
  </si>
  <si>
    <t>PPA Price — Escalated ($/MWh)</t>
  </si>
  <si>
    <t>Merchant Price ($/MWh)</t>
  </si>
  <si>
    <t>Contract Period Flag</t>
  </si>
  <si>
    <t>Effective Energy Price — Year N ($/MWh)</t>
  </si>
  <si>
    <t>Solar Energy Revenue ($)</t>
  </si>
  <si>
    <t>BESS Block 1 - Energy Arbitrage Revenue</t>
  </si>
  <si>
    <t>BESS Net Discharge - Arbitrage Share (MWh)</t>
  </si>
  <si>
    <t>Discharge Price - Year 1 ($/MWh)</t>
  </si>
  <si>
    <t>Discharge Price Escalator Factor</t>
  </si>
  <si>
    <t>Discharge Price - Year N ($/MWh)</t>
  </si>
  <si>
    <t>Grid Purchase Price - Year 1 ($/MWh)</t>
  </si>
  <si>
    <t>Grid Purchase Price Escalator Factor</t>
  </si>
  <si>
    <t>Grid Purchase Price - Year N ($/MWh)</t>
  </si>
  <si>
    <t>RTE Adjustment Factor</t>
  </si>
  <si>
    <t>Charging Cost per MWh Delivered - Year N ($/MWh)</t>
  </si>
  <si>
    <t>Curtailment Share of Charging (%)</t>
  </si>
  <si>
    <t>Grid Charging Share (%)</t>
  </si>
  <si>
    <t>Blended Charging Cost ($/MWh)</t>
  </si>
  <si>
    <t>Gross Arbitrage Spread - Year N ($/MWh)</t>
  </si>
  <si>
    <t>BESS Energy Arbitrage Revenue ($)</t>
  </si>
  <si>
    <t>BESS Block 2 — Resource Adequacy Revenue</t>
  </si>
  <si>
    <t>BESS Accredited Capacity (MW)</t>
  </si>
  <si>
    <t>RA Price — Year 1 ($/kW-month)</t>
  </si>
  <si>
    <t>RA Escalator Factor</t>
  </si>
  <si>
    <t>RA Price — Year N ($/kW-month)</t>
  </si>
  <si>
    <t>BESS RA Revenue ($)</t>
  </si>
  <si>
    <t>BESS Block 3 — Ancillary Services Revenue</t>
  </si>
  <si>
    <t>BESS Power Rating - Nameplate (MW)</t>
  </si>
  <si>
    <t>BESS Power Degradation Factor</t>
  </si>
  <si>
    <t>BESS Power Rating - Year N (MW)</t>
  </si>
  <si>
    <t>Ancillary Services Capacity Allocation</t>
  </si>
  <si>
    <t>BESS Capacity - Ancillary Services Share (MW)</t>
  </si>
  <si>
    <t>Ancillary Services Revenue - Year 1 ($/kW-year)</t>
  </si>
  <si>
    <t>Ancillary Services Escalator Factor</t>
  </si>
  <si>
    <t>Ancillary Services Revenue - Year N ($/kW-year)</t>
  </si>
  <si>
    <t>BESS Ancillary Services Revenue ($)</t>
  </si>
  <si>
    <t>TOTAL REVENUE</t>
  </si>
  <si>
    <t>COSTS  —  Capital Expenditure (Sources &amp; Uses)  ·  Annual Operating Costs  ·  Years 1–30</t>
  </si>
  <si>
    <t>Uses Block</t>
  </si>
  <si>
    <t>Solar EPC Cost ($)</t>
  </si>
  <si>
    <t>BESS EPC Cost ($)</t>
  </si>
  <si>
    <t>ITC Cash Proceeds ($)</t>
  </si>
  <si>
    <t>Subtotal Hard Costs ($)</t>
  </si>
  <si>
    <t>Equity Contribution ($)</t>
  </si>
  <si>
    <t>Interconnection Cost ($)</t>
  </si>
  <si>
    <t>Development Costs ($)</t>
  </si>
  <si>
    <t>Owner's Contingency ($)</t>
  </si>
  <si>
    <t>Subtotal Soft Costs ($)</t>
  </si>
  <si>
    <t>Subtotal Project Cost ($)</t>
  </si>
  <si>
    <t>Financing Costs ($)</t>
  </si>
  <si>
    <t>Total Project Cost ($)</t>
  </si>
  <si>
    <t>Opex Escalator Factor</t>
  </si>
  <si>
    <t>Solar Fixed O&amp;M ($)</t>
  </si>
  <si>
    <t>BESS Fixed O&amp;M ($)</t>
  </si>
  <si>
    <t>Land Lease ($)</t>
  </si>
  <si>
    <t>Insurance ($)</t>
  </si>
  <si>
    <t>Asset Management Fee ($)</t>
  </si>
  <si>
    <t>Transmission / CAISO Fees ($)</t>
  </si>
  <si>
    <t>Total Opex ($)</t>
  </si>
  <si>
    <t>Opex % of Revenue</t>
  </si>
  <si>
    <t>Cumulative Opex ($)</t>
  </si>
  <si>
    <t>DEBT  —  Debt Sizing · Amortization Schedule · DSCR  ·  Goal Seek: Set Min DSCR = 1.30x by changing Initial Debt Estimate</t>
  </si>
  <si>
    <t>Block 1 — Debt Sizing</t>
  </si>
  <si>
    <t>Target Debt: Total Capitalization (%)</t>
  </si>
  <si>
    <t>Initial Debt Estimate ($)</t>
  </si>
  <si>
    <t>Debt Tenor (years)</t>
  </si>
  <si>
    <t>Annual Debt Service — Constant ($)</t>
  </si>
  <si>
    <t>Minimum DSCR Achieved</t>
  </si>
  <si>
    <t>Sizing Check</t>
  </si>
  <si>
    <t>Maximum Debt — Leverage Cap ($)</t>
  </si>
  <si>
    <t>Final Debt Amount ($)</t>
  </si>
  <si>
    <t>Debt: Total Capitalization (%)</t>
  </si>
  <si>
    <t>Block 2 — Amortization Schedule</t>
  </si>
  <si>
    <t>Beginning Balance ($)</t>
  </si>
  <si>
    <t>Interest Payment ($)</t>
  </si>
  <si>
    <t>Principal Payment ($)</t>
  </si>
  <si>
    <t>Ending Balance ($)</t>
  </si>
  <si>
    <t>Check: Ending Balance Year 18</t>
  </si>
  <si>
    <t>Block 3 — DSCR Calculation</t>
  </si>
  <si>
    <t>Interim CFADS Calc</t>
  </si>
  <si>
    <t>Total Revenue ($)</t>
  </si>
  <si>
    <t>EBITDA ($)</t>
  </si>
  <si>
    <t>Interest Expense ($)</t>
  </si>
  <si>
    <t>Applied Depreciation ($)</t>
  </si>
  <si>
    <t>Taxable Income ($)</t>
  </si>
  <si>
    <t>Cash Tax ($)</t>
  </si>
  <si>
    <t>Depreciation Add-Back ($)</t>
  </si>
  <si>
    <t>CFADS ($)</t>
  </si>
  <si>
    <t>DSCR Block</t>
  </si>
  <si>
    <t>DSCR (Year N)</t>
  </si>
  <si>
    <t>DSCR Headroom</t>
  </si>
  <si>
    <t>Covenant Breach Flag</t>
  </si>
  <si>
    <t>Minimum DSCR (debt period)</t>
  </si>
  <si>
    <t>Average DSCR (debt period)</t>
  </si>
  <si>
    <t>P90 DSCR (Year 1)</t>
  </si>
  <si>
    <t>TAX  —  ITC/PTC Election · MACRS Depreciation · Tax Liability  ·  Optimal: PTC ($74.9M)  |  Elected: ITC ($69.9M)</t>
  </si>
  <si>
    <t>Block 1 — Section 48E ITC Calculation</t>
  </si>
  <si>
    <t>Less: Development Costs ($)</t>
  </si>
  <si>
    <t>Less: Financing Costs ($)</t>
  </si>
  <si>
    <t>Eligible Capex for ITC ($)</t>
  </si>
  <si>
    <t>ITC Rate (%)</t>
  </si>
  <si>
    <t>Gross ITC Amount ($)</t>
  </si>
  <si>
    <t>ITC Transfer Price (¢/$)</t>
  </si>
  <si>
    <t>ITC Basis Reduction ($)</t>
  </si>
  <si>
    <t>ITC Depreciable Basis ($)</t>
  </si>
  <si>
    <t>Block 2 — Section 45Y PTC Calculation</t>
  </si>
  <si>
    <t>PTC Rate ($/MWh)</t>
  </si>
  <si>
    <t>PTC Inflation Adjustment Factor</t>
  </si>
  <si>
    <t>PTC Rate — Inflation Adjusted ($/MWh)</t>
  </si>
  <si>
    <t>PTC Credit Period Flag</t>
  </si>
  <si>
    <t>Annual PTC Value ($)</t>
  </si>
  <si>
    <t>PTC Transfer Price (¢/$)</t>
  </si>
  <si>
    <t>Annual PTC Cash Proceeds ($)</t>
  </si>
  <si>
    <t>Block 3a — ITC MACRS Depreciation Schedule</t>
  </si>
  <si>
    <t>MACRS % — Year N</t>
  </si>
  <si>
    <t>ITC Annual Depreciation ($)</t>
  </si>
  <si>
    <t>ITC Cumulative Depreciation ($)</t>
  </si>
  <si>
    <t>ITC Depreciation Tax Shield ($)</t>
  </si>
  <si>
    <t>Check: Fully Depreciated</t>
  </si>
  <si>
    <t>Block 3b — PTC MACRS Depreciation Schedule</t>
  </si>
  <si>
    <t>PTC Depreciable Basis ($)</t>
  </si>
  <si>
    <t>PTC Annual Depreciation ($)</t>
  </si>
  <si>
    <t>PTC Cumulative Depreciation ($)</t>
  </si>
  <si>
    <t>PTC Depreciation Tax Shield ($)</t>
  </si>
  <si>
    <t>Block 4 — ITC vs. PTC Comparison</t>
  </si>
  <si>
    <t>PTC</t>
  </si>
  <si>
    <t>NPV of Credit Proceeds ($)</t>
  </si>
  <si>
    <t>Depreciable Basis ($)</t>
  </si>
  <si>
    <t>NPV of Depreciation Tax Shield ($)</t>
  </si>
  <si>
    <t>Total Economic Value ($)</t>
  </si>
  <si>
    <t>Value Difference ($)</t>
  </si>
  <si>
    <t>Optimal Election</t>
  </si>
  <si>
    <t>Block 5 — Annual Tax Liability</t>
  </si>
  <si>
    <t>Applied Annual Depreciation ($)</t>
  </si>
  <si>
    <t>Pre-Credit Tax ($)</t>
  </si>
  <si>
    <t>PTC Applied ($)</t>
  </si>
  <si>
    <t>Net Tax Liability ($)</t>
  </si>
  <si>
    <t>CASHFLOWS  —  Project IRR: 7.75%  ·  Equity IRR: 9.52%  ·  Equity Multiple: 3.33x  ·  Payback: 11 Years</t>
  </si>
  <si>
    <t>Block 1 — Project Cash Flow (Unlevered)</t>
  </si>
  <si>
    <t>Total Capex ($)</t>
  </si>
  <si>
    <t>Net Investment at Close ($)</t>
  </si>
  <si>
    <t>Taxable Income (Unlevered) ($)</t>
  </si>
  <si>
    <t>Unlevered Cash Tax ($)</t>
  </si>
  <si>
    <t>CFADS — Unlevered ($)</t>
  </si>
  <si>
    <t>Project Cash Flow ($)</t>
  </si>
  <si>
    <t>Project IRR</t>
  </si>
  <si>
    <t>Project NPV ($)</t>
  </si>
  <si>
    <t>Block 2 — Equity Cash Flow (Levered)</t>
  </si>
  <si>
    <t>Taxable Income (Levered) ($)</t>
  </si>
  <si>
    <t>Levered Cash Tax ($)</t>
  </si>
  <si>
    <t>Annual Interest Tax Shield (Year N)</t>
  </si>
  <si>
    <t>Free Cash Flow to Equity ($)</t>
  </si>
  <si>
    <t>Equity Cash Flow ($)</t>
  </si>
  <si>
    <t>Cumulative FCF (Year N)</t>
  </si>
  <si>
    <t>Equity IRR</t>
  </si>
  <si>
    <t>Equity NPV ($)</t>
  </si>
  <si>
    <t>Block 3 — Equity Multiple and Payback</t>
  </si>
  <si>
    <t>Equity Multiple</t>
  </si>
  <si>
    <t>Payback Period</t>
  </si>
  <si>
    <t>Block 4 — Returns Summary</t>
  </si>
  <si>
    <t>Total Revenue (30 years) ($)</t>
  </si>
  <si>
    <t>Total Opex (30 years) ($)</t>
  </si>
  <si>
    <t>Total Levered Taxes Paid ($)</t>
  </si>
  <si>
    <t>Total Interest Tax Shield</t>
  </si>
  <si>
    <t>LCOE  —  Solar: $90.88/MWh  ·  System: $69.84/MWh (Lazard ✓)  ·  Min Viable PPA: $55.42/MWh (LBNL ✓)</t>
  </si>
  <si>
    <t>Block 1 — Solar LCOE</t>
  </si>
  <si>
    <t>NPV Costs</t>
  </si>
  <si>
    <t>NPV Energy</t>
  </si>
  <si>
    <t>Solar LCOE</t>
  </si>
  <si>
    <t>Block 2 — System LCOE (Solar + Storage)</t>
  </si>
  <si>
    <t>Solar + Storage LCOE</t>
  </si>
  <si>
    <t>Block 3 — Minimum Viable PPA Price</t>
  </si>
  <si>
    <t>Section A — Current Model Output</t>
  </si>
  <si>
    <t>Current PPA Price — Year 1 ($/MWh)</t>
  </si>
  <si>
    <t>Current Equity IRR (%)</t>
  </si>
  <si>
    <t>Current Project IRR (%)</t>
  </si>
  <si>
    <t>Current LCOE — Solar ($/MWh)</t>
  </si>
  <si>
    <t>Current LCOE — System ($/MWh)</t>
  </si>
  <si>
    <t>Gap to 12% Equity IRR</t>
  </si>
  <si>
    <t>Section B — Minimum Viable PPA Price</t>
  </si>
  <si>
    <t>Target Equity IRR (%)</t>
  </si>
  <si>
    <t>Minimum Viable PPA Price ($/MWh)</t>
  </si>
  <si>
    <t>Based on What-If analysis</t>
  </si>
  <si>
    <t>Premium over Current Assumption ($/MWh)</t>
  </si>
  <si>
    <t>Premium over Current Assumption (%)</t>
  </si>
  <si>
    <t>Section C — Benchmarking</t>
  </si>
  <si>
    <t>Lazard LCOE - Utility Solar+Storage Low ($/MWh)</t>
  </si>
  <si>
    <t>Lazard v18.0 (2025)</t>
  </si>
  <si>
    <t>Lazard LCOE - Utility Solar+Storage High ($/MWh)</t>
  </si>
  <si>
    <t>LBNL PPA Price Range - Low ($/MWh)</t>
  </si>
  <si>
    <t>LBNL PPA Price Range - High ($/MWh)</t>
  </si>
  <si>
    <t>Your LCOE vs. Lazard Range</t>
  </si>
  <si>
    <t>Min Viable PPA vs. LBNL Market Range</t>
  </si>
  <si>
    <t>SENSITIVITIES  —  10 One-Way · 4 Two-Way · 4 Scenarios  ·  Base: Project IRR 7.75% / Equity IRR 9.52%</t>
  </si>
  <si>
    <t>Section 1 — Base Case Summary</t>
  </si>
  <si>
    <t>Min DSCR (x)</t>
  </si>
  <si>
    <t>LCOE — System ($/MWh)</t>
  </si>
  <si>
    <t>Min Viable PPA Price ($/MWh)</t>
  </si>
  <si>
    <t>Section 2 — One-Way Sensitivity Tables</t>
  </si>
  <si>
    <t>Scenario</t>
  </si>
  <si>
    <t>PPA Price</t>
  </si>
  <si>
    <t>Min DSCR</t>
  </si>
  <si>
    <t>ΔEquity IRR</t>
  </si>
  <si>
    <t>Sensitivity Table 1 — PPA Price</t>
  </si>
  <si>
    <t>Bear</t>
  </si>
  <si>
    <t>Low</t>
  </si>
  <si>
    <t>Base</t>
  </si>
  <si>
    <t>Mid-High</t>
  </si>
  <si>
    <t>High</t>
  </si>
  <si>
    <t>Bull</t>
  </si>
  <si>
    <t>Sensitivity Table 2 — Solar Capacity Factor</t>
  </si>
  <si>
    <t>Capacity Factor (%)</t>
  </si>
  <si>
    <t>P90</t>
  </si>
  <si>
    <t>Base (P50)</t>
  </si>
  <si>
    <t>P10</t>
  </si>
  <si>
    <t>Sensitivity Table 3 — Solar EPC Cost</t>
  </si>
  <si>
    <t>Solar EPC ($/Wdc)</t>
  </si>
  <si>
    <t>Sensitivity Table 4 — BESS EPC Cost</t>
  </si>
  <si>
    <t>BESS EPC ($/kWh)</t>
  </si>
  <si>
    <t>Sensitivity Table 5 — Interconnection Cost</t>
  </si>
  <si>
    <t>Interconnection Cost ($M)</t>
  </si>
  <si>
    <t>Minimal</t>
  </si>
  <si>
    <t>Severe</t>
  </si>
  <si>
    <t>Sensitivity Table 6 — Merchant Price (Post-PPA)</t>
  </si>
  <si>
    <t>Sensitivity Table 7 — Debt Interest Rate</t>
  </si>
  <si>
    <t>Interest Rate (%)</t>
  </si>
  <si>
    <t>Sensitivity Table 8 — BESS Cycles Per Day</t>
  </si>
  <si>
    <t>Cycles/Day</t>
  </si>
  <si>
    <t>Sensitivity Table 9 — RA Accreditation</t>
  </si>
  <si>
    <t>Accredited Capacity (MW)</t>
  </si>
  <si>
    <t>% of Nameplate</t>
  </si>
  <si>
    <t>Severe haircut</t>
  </si>
  <si>
    <t>Moderate haircut</t>
  </si>
  <si>
    <t>Upside</t>
  </si>
  <si>
    <t>Sensitivity Table 10 — Curtailment Rate</t>
  </si>
  <si>
    <t>Curtailment Rate (%)</t>
  </si>
  <si>
    <t>Section 3 — Two-Way Sensitivity Tables</t>
  </si>
  <si>
    <t>PPA Price ($/MWh)</t>
  </si>
  <si>
    <t>Solar EPC Cost ($/Wdc)</t>
  </si>
  <si>
    <t>BESS EPC Cost ($/kWh)</t>
  </si>
  <si>
    <t>BESS Cycles Per Day</t>
  </si>
  <si>
    <t>Two-Way Table 1 — Equity IRR: PPA Price × Solar EPC Cost</t>
  </si>
  <si>
    <t>PPA Price ($)</t>
  </si>
  <si>
    <t>Two-Way Table 2 — Equity IRR: Capacity Factor × Merchant Price</t>
  </si>
  <si>
    <t>Two-Way Table 3 — Equity IRR: BESS EPC Cost × BESS Cycles Per Day</t>
  </si>
  <si>
    <t>Two-Way Table 4 — Min DSCR: PPA Price × Interest Rate</t>
  </si>
  <si>
    <t>Section 4 — Scenario Analysis</t>
  </si>
  <si>
    <t>Table 1 — Input Assumptions by Scenario</t>
  </si>
  <si>
    <t>Input Assumption</t>
  </si>
  <si>
    <t>Bear Case</t>
  </si>
  <si>
    <t>Base Case</t>
  </si>
  <si>
    <t>Bull Case</t>
  </si>
  <si>
    <t>12% Target Case</t>
  </si>
  <si>
    <t>P50 Capacity Factor (%)</t>
  </si>
  <si>
    <t>Merchant Price — Post PPA ($/MWh)</t>
  </si>
  <si>
    <t>Debt Interest Rate (%)</t>
  </si>
  <si>
    <t>Table 2 — Output Metrics by Scenario</t>
  </si>
  <si>
    <t>Total Project Cost ($M)</t>
  </si>
  <si>
    <t>Debt Amount ($M)</t>
  </si>
  <si>
    <t>Equity Contribution ($M)</t>
  </si>
  <si>
    <t>&gt;30 years</t>
  </si>
  <si>
    <t>Year 1 Total Revenue ($M)</t>
  </si>
  <si>
    <t>100 MWac Solar PV  +  50 MW / 200 MWh BESS
CAISO SP15  —  Project Finance Model</t>
  </si>
  <si>
    <t>Additional Equity Required at Close</t>
  </si>
  <si>
    <t>**Total economic value comparison is on a project basis. From an equity investor perspective, PTC requires $45.5M more equity at close - reducing levered returns substantially despite higher total NPV. ITC is preferred for equity IRR optimization.</t>
  </si>
  <si>
    <t>Base Case Inputs</t>
  </si>
  <si>
    <t>Total Unlevered Taxes Paid ($)</t>
  </si>
  <si>
    <t>Credit Rate</t>
  </si>
  <si>
    <t>Transfer Price</t>
  </si>
  <si>
    <t>4% net curtailment loss — reflects 2023 CAISO system average of ~3% (LBNL Utility-Scale Solar 2024, Figures 27-28) adjusted upward for project life curtailment trend and storage co-location offset. Sensitivity range: 2–12%. EIA data shows 29% year-over-year increase in CAISO curtailment in 2024."</t>
  </si>
  <si>
    <t>1.5% is between PVWatts default (3.0%, NREL PVWatts Version 5 Manual) and best-in-class monitored systems (0.5%). Reflects new utility-scale plant with professional O&amp;M contract. See also NREL SAM default (5.0%) for conservative upper bound</t>
  </si>
  <si>
    <t>PVWatts</t>
  </si>
  <si>
    <t>NREL ATB 2024 — Utility-Scale PV</t>
  </si>
  <si>
    <t>NREL ATB 2024 — Utility-Scale Battery Storage</t>
  </si>
  <si>
    <t>Developer assumption — LBNL Queued Up 2024 (wide uncertainty)</t>
  </si>
  <si>
    <t>Industry convention (5-10% of hard costs)</t>
  </si>
  <si>
    <t>Developer assumption — CA market rate</t>
  </si>
  <si>
    <t>Industry convention (0.20–0.35% of capex)</t>
  </si>
  <si>
    <t>Developer assumption — CAISO tariff</t>
  </si>
  <si>
    <t>Toggle YES/NO</t>
  </si>
  <si>
    <t>Market convention — lender requirement</t>
  </si>
  <si>
    <t>Industry convention — solar project finance</t>
  </si>
  <si>
    <t>Developer assumption — Goal Seek starting point</t>
  </si>
  <si>
    <t>IRA Section 48E / 45Y — PWA requirement</t>
  </si>
  <si>
    <t>Model-calculated — see TAX tab Block 4</t>
  </si>
  <si>
    <t>IRA Section 45Y — base rate</t>
  </si>
  <si>
    <t>IRA Section 45Y — 5x PWA multiplier</t>
  </si>
  <si>
    <t>Derived — see PWA Compliance toggle</t>
  </si>
  <si>
    <t>IRS annual adjustment proxy — 2%</t>
  </si>
  <si>
    <t>IRA Section 48E — base rate</t>
  </si>
  <si>
    <t>IRA Section 48E — 5x PWA multiplier</t>
  </si>
  <si>
    <t>IRS Publication 946 — 5-year property</t>
  </si>
  <si>
    <t>IRS Publication 946 — half-year convention</t>
  </si>
  <si>
    <t>Developer return threshold — industry convention</t>
  </si>
  <si>
    <t>NREL ATB 2024 base year is 1.07/Wdc(2022), derived from Ramasamy et al. (2023) bottom-up benchmark. $0.80/Wdc reflects continued module and installation cost declines through 2024. California premium of ~10% over national average assumed for labor and permitting; without this adjustment the national benchmark would support ~$0.72–$0.75/Wdc. Sensitivity range: $0.75–$1.10/Wdc on Sensitivities tab
Note: ATB capex includes grid connection costs (~$0.10/Wdc); this model separates interconnection as a standalone line item ($15M).</t>
  </si>
  <si>
    <t>NREL bottom-up model (Cole and Karmakar, 2025) shows $334/kWh as the 2024 starting point for a 4-hour utility-scale system. $230/kWh reflects significant Li-ion cell cost declines through 2024 driven by global manufacturing capacity expansion, consistent with current developer procurement data. NREL's low-cost 2035 projection is $147/kWh, suggesting further decline ahead. Wide uncertainty acknowledged — sensitivity range: $200–$360/kWh on Sensitivities tab.</t>
  </si>
  <si>
    <t>No standard published benchmark. Network upgrade costs are determined by the ISO interconnection study process and can range from near zero to $50M+ for a 100 MWac project depending on location, queue position, and transmission constraints. LBNL Queued Up 2024 documents this variability across CAISO. $15M represents a moderate central estimate. This is the single most uncertain capex line item in the model — sensitivity range: $5M–$40M on Sensitivities tab.</t>
  </si>
  <si>
    <t>NREL ATB 2024 reports $24/kWac-yr as an all-in O&amp;M figure covering maintenance labor, insurance, land lease, asset management, site security, and vegetation management. This model decomposes those costs into separate line items. The $10/kWac covers maintenance labor and component replacement only. Summing all operating cost lines (Solar O&amp;M + BESS O&amp;M + Land + Insurance + Asset Management + CAISO Fees) yields approximately $29/kWac-yr, consistent with the ATB benchmark.</t>
  </si>
  <si>
    <t>NREL ATB 2024 Financial Cases document a real debt rate of 4.5–5.0% for utility-scale solar. Adding the 2.5% inflation assumption used throughout the ATB gives a nominal equivalent of 7.0–7.5%. Norton Rose Fulbright Tax Equity Market Outlook 2024 confirms median project finance debt rates of approximately 7.0% for contracted utility solar as of 2023–2024. Note: ATB uses real rates for LCOE calculations; this model uses nominal rates throughout for consistency with standard project finance practice.</t>
  </si>
  <si>
    <t>TAX tab Block 4 shows PTC is the NPV-optimal election (+$5M total economic value vs. ITC). ITC is elected because PTC credits arrive annually over 10 years rather than at close, which doubles the required equity contribution from $44M to $90M and reduces Equity IRR from 9.52% to 3.69%. ITC is preferred for equity return optimization despite lower total NPV. See TAX tab Block 4 for full comparison including depreciation basis differential. This reflects the post-IRA transferability framework under Section 6418.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</si>
</sst>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"/>
    <numFmt numFmtId="165" formatCode="0.0%"/>
    <numFmt numFmtId="166" formatCode="\$#,##0;&quot;($&quot;#,##0\)"/>
    <numFmt numFmtId="167" formatCode="0.00\x"/>
    <numFmt numFmtId="168" formatCode="\$0.00"/>
    <numFmt numFmtId="169" formatCode="\$#,##0_);[Red]&quot;($&quot;#,##0\)"/>
    <numFmt numFmtId="170" formatCode="\$#,##0.00_);[Red]&quot;($&quot;#,##0.00\)"/>
    <numFmt numFmtId="171" formatCode="_(* #,##0.00_);_(* \(#,##0.00\);_(* \-??_);_(@_)"/>
    <numFmt numFmtId="172" formatCode="0.0000"/>
    <numFmt numFmtId="173" formatCode="_(\$* #,##0.00_);_(\$* \(#,##0.00\);_(\$* \-??_);_(@_)"/>
    <numFmt numFmtId="174" formatCode="0.0000000"/>
    <numFmt numFmtId="175" formatCode="0.000000000000000%"/>
    <numFmt numFmtId="176" formatCode="&quot;$&quot;#,##0.00"/>
  </numFmts>
  <fonts count="4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A0B4C8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F3864"/>
      <name val="Arial"/>
      <family val="2"/>
    </font>
    <font>
      <sz val="10"/>
      <color rgb="FF1F1F1F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i/>
      <sz val="9"/>
      <color rgb="FF375623"/>
      <name val="Arial"/>
      <family val="2"/>
    </font>
    <font>
      <b/>
      <sz val="10"/>
      <color rgb="FF375623"/>
      <name val="Arial"/>
      <family val="2"/>
    </font>
    <font>
      <sz val="9"/>
      <color rgb="FF375623"/>
      <name val="Arial"/>
      <family val="2"/>
    </font>
    <font>
      <b/>
      <sz val="10"/>
      <color rgb="FF1F1F1F"/>
      <name val="Arial"/>
      <family val="2"/>
    </font>
    <font>
      <b/>
      <sz val="9"/>
      <color rgb="FF375623"/>
      <name val="Arial"/>
      <family val="2"/>
    </font>
    <font>
      <sz val="9"/>
      <color rgb="FF595959"/>
      <name val="Arial"/>
      <family val="2"/>
    </font>
    <font>
      <b/>
      <sz val="10"/>
      <color rgb="FF1F3864"/>
      <name val="Arial"/>
      <family val="2"/>
    </font>
    <font>
      <i/>
      <sz val="9"/>
      <color rgb="FF7F4B00"/>
      <name val="Arial"/>
      <family val="2"/>
    </font>
    <font>
      <i/>
      <sz val="8"/>
      <color rgb="FFFFFFFF"/>
      <name val="Arial"/>
      <family val="2"/>
    </font>
    <font>
      <b/>
      <sz val="20"/>
      <color rgb="FFFFFFFF"/>
      <name val="Arial"/>
      <family val="2"/>
    </font>
    <font>
      <b/>
      <sz val="12"/>
      <color rgb="FFFFFFFF"/>
      <name val="Arial"/>
      <family val="2"/>
    </font>
    <font>
      <sz val="11"/>
      <color theme="8"/>
      <name val="Calibri"/>
      <family val="2"/>
      <charset val="1"/>
    </font>
    <font>
      <b/>
      <sz val="10"/>
      <color rgb="FF0070C0"/>
      <name val="Arial"/>
      <family val="2"/>
    </font>
    <font>
      <sz val="9"/>
      <color rgb="FF1F1F1F"/>
      <name val="Arial"/>
      <family val="2"/>
    </font>
    <font>
      <b/>
      <sz val="9"/>
      <color rgb="FF1F1F1F"/>
      <name val="Arial"/>
      <family val="2"/>
    </font>
    <font>
      <b/>
      <sz val="10"/>
      <color rgb="FFED7D31"/>
      <name val="Arial"/>
      <family val="2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charset val="1"/>
    </font>
    <font>
      <b/>
      <sz val="10"/>
      <color theme="0"/>
      <name val="Arial"/>
      <family val="2"/>
    </font>
    <font>
      <sz val="10"/>
      <color theme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499984740745262"/>
      <name val="Arial"/>
      <family val="2"/>
    </font>
    <font>
      <b/>
      <sz val="10"/>
      <color theme="9" tint="-0.499984740745262"/>
      <name val="Arial"/>
      <family val="2"/>
    </font>
    <font>
      <sz val="11"/>
      <color theme="9" tint="-0.499984740745262"/>
      <name val="Calibri"/>
      <family val="2"/>
      <charset val="1"/>
    </font>
    <font>
      <b/>
      <sz val="9"/>
      <color theme="9" tint="-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0"/>
      <name val="Arial"/>
      <family val="2"/>
    </font>
    <font>
      <i/>
      <sz val="9"/>
      <name val="Arial"/>
      <family val="2"/>
    </font>
    <font>
      <b/>
      <i/>
      <sz val="9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C9A84C"/>
        <bgColor rgb="FFED7D31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9D9D9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8E7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6E4F0"/>
        <bgColor rgb="FFFFF8E7"/>
      </patternFill>
    </fill>
    <fill>
      <patternFill patternType="solid">
        <fgColor rgb="FFD6E4F0"/>
        <bgColor indexed="64"/>
      </patternFill>
    </fill>
    <fill>
      <patternFill patternType="solid">
        <fgColor rgb="FF1F3864"/>
        <bgColor rgb="FFD9D9D9"/>
      </patternFill>
    </fill>
    <fill>
      <patternFill patternType="solid">
        <fgColor rgb="FF7030A0"/>
        <bgColor rgb="FF2F5597"/>
      </patternFill>
    </fill>
    <fill>
      <patternFill patternType="solid">
        <fgColor theme="0" tint="-0.499984740745262"/>
        <bgColor rgb="FF2F5597"/>
      </patternFill>
    </fill>
    <fill>
      <patternFill patternType="solid">
        <fgColor rgb="FFFFF8E7"/>
        <bgColor rgb="FFFFF8E7"/>
      </patternFill>
    </fill>
    <fill>
      <patternFill patternType="solid">
        <fgColor rgb="FFE2EFDA"/>
        <bgColor rgb="FFFFF8E7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/>
      <right/>
      <top/>
      <bottom style="medium">
        <color rgb="FF1F38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theme="0" tint="-0.14999847407452621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theme="0" tint="-0.14999847407452621"/>
      </top>
      <bottom style="thin">
        <color rgb="FFCCCCCC"/>
      </bottom>
      <diagonal/>
    </border>
    <border>
      <left style="thin">
        <color rgb="FFCCCCCC"/>
      </left>
      <right/>
      <top style="thin">
        <color theme="0" tint="-0.14999847407452621"/>
      </top>
      <bottom style="thin">
        <color rgb="FFCCCCCC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rgb="FFCCCCCC"/>
      </left>
      <right style="thin">
        <color theme="0" tint="-0.14999847407452621"/>
      </right>
      <top style="thin">
        <color rgb="FFCCCCCC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CCCCCC"/>
      </right>
      <top style="thin">
        <color theme="0" tint="-0.14999847407452621"/>
      </top>
      <bottom style="thin">
        <color rgb="FFCCCCCC"/>
      </bottom>
      <diagonal/>
    </border>
    <border>
      <left style="thin">
        <color rgb="FFCCCCCC"/>
      </left>
      <right style="thin">
        <color theme="0" tint="-0.14999847407452621"/>
      </right>
      <top style="thin">
        <color theme="0" tint="-0.14999847407452621"/>
      </top>
      <bottom style="thin">
        <color rgb="FFCCCCCC"/>
      </bottom>
      <diagonal/>
    </border>
    <border>
      <left style="thin">
        <color theme="0" tint="-0.1499984740745262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1"/>
      </left>
      <right style="thin">
        <color rgb="FFCCCCCC"/>
      </right>
      <top style="thin">
        <color rgb="FFCCCCCC"/>
      </top>
      <bottom style="thin">
        <color theme="0" tint="-0.1499984740745262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theme="0" tint="-0.14999847407452621"/>
      </right>
      <top/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C9A84C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theme="0" tint="-0.14999847407452621"/>
      </right>
      <top style="thin">
        <color rgb="FFCCCCCC"/>
      </top>
      <bottom/>
      <diagonal/>
    </border>
    <border>
      <left/>
      <right/>
      <top style="medium">
        <color rgb="FFC9A84C"/>
      </top>
      <bottom style="thin">
        <color theme="0" tint="-0.14999847407452621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theme="0" tint="-0.14999847407452621"/>
      </bottom>
      <diagonal/>
    </border>
    <border>
      <left style="thin">
        <color rgb="FFCCCCCC"/>
      </left>
      <right style="medium">
        <color theme="0" tint="-0.1499984740745262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0" tint="-0.14999847407452621"/>
      </bottom>
      <diagonal/>
    </border>
    <border>
      <left style="thin">
        <color rgb="FFCCCCCC"/>
      </left>
      <right style="medium">
        <color theme="0" tint="-0.14999847407452621"/>
      </right>
      <top style="thin">
        <color rgb="FFCCCCCC"/>
      </top>
      <bottom style="medium">
        <color theme="0" tint="-0.1499984740745262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theme="0" tint="-0.14999847407452621"/>
      </top>
      <bottom/>
      <diagonal/>
    </border>
    <border>
      <left style="thin">
        <color rgb="FFCCCCCC"/>
      </left>
      <right/>
      <top style="thin">
        <color indexed="64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medium">
        <color theme="0" tint="-0.14999847407452621"/>
      </bottom>
      <diagonal/>
    </border>
    <border>
      <left style="thin">
        <color rgb="FFCCCCCC"/>
      </left>
      <right style="medium">
        <color theme="0" tint="-0.14999847407452621"/>
      </right>
      <top style="thin">
        <color indexed="64"/>
      </top>
      <bottom style="thin">
        <color rgb="FFCCCCCC"/>
      </bottom>
      <diagonal/>
    </border>
  </borders>
  <cellStyleXfs count="4">
    <xf numFmtId="0" fontId="0" fillId="0" borderId="0"/>
    <xf numFmtId="171" fontId="28" fillId="0" borderId="0"/>
    <xf numFmtId="173" fontId="28" fillId="0" borderId="0"/>
    <xf numFmtId="9" fontId="28" fillId="0" borderId="0"/>
  </cellStyleXfs>
  <cellXfs count="535">
    <xf numFmtId="0" fontId="0" fillId="0" borderId="0" xfId="0"/>
    <xf numFmtId="0" fontId="11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2" borderId="0" xfId="0" applyFill="1"/>
    <xf numFmtId="0" fontId="6" fillId="2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indent="2"/>
    </xf>
    <xf numFmtId="0" fontId="9" fillId="6" borderId="3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2"/>
    </xf>
    <xf numFmtId="0" fontId="9" fillId="7" borderId="3" xfId="0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right" vertical="center"/>
    </xf>
    <xf numFmtId="164" fontId="9" fillId="6" borderId="3" xfId="0" applyNumberFormat="1" applyFont="1" applyFill="1" applyBorder="1" applyAlignment="1">
      <alignment horizontal="right" vertical="center"/>
    </xf>
    <xf numFmtId="165" fontId="10" fillId="6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 indent="2"/>
    </xf>
    <xf numFmtId="164" fontId="9" fillId="5" borderId="3" xfId="0" applyNumberFormat="1" applyFont="1" applyFill="1" applyBorder="1" applyAlignment="1">
      <alignment horizontal="right" vertical="center"/>
    </xf>
    <xf numFmtId="164" fontId="9" fillId="7" borderId="3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left" vertical="center" indent="2"/>
    </xf>
    <xf numFmtId="164" fontId="9" fillId="8" borderId="3" xfId="0" applyNumberFormat="1" applyFont="1" applyFill="1" applyBorder="1" applyAlignment="1">
      <alignment horizontal="right" vertical="center"/>
    </xf>
    <xf numFmtId="0" fontId="8" fillId="9" borderId="3" xfId="0" applyFont="1" applyFill="1" applyBorder="1" applyAlignment="1">
      <alignment horizontal="left" vertical="center" indent="2"/>
    </xf>
    <xf numFmtId="164" fontId="9" fillId="9" borderId="3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left" vertical="center" indent="2"/>
    </xf>
    <xf numFmtId="164" fontId="11" fillId="2" borderId="4" xfId="0" applyNumberFormat="1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 indent="2"/>
    </xf>
    <xf numFmtId="164" fontId="11" fillId="4" borderId="4" xfId="0" applyNumberFormat="1" applyFont="1" applyFill="1" applyBorder="1" applyAlignment="1">
      <alignment horizontal="right" vertical="center"/>
    </xf>
    <xf numFmtId="0" fontId="12" fillId="9" borderId="3" xfId="0" applyFont="1" applyFill="1" applyBorder="1" applyAlignment="1">
      <alignment horizontal="left" vertical="center" indent="2"/>
    </xf>
    <xf numFmtId="164" fontId="13" fillId="9" borderId="3" xfId="0" applyNumberFormat="1" applyFont="1" applyFill="1" applyBorder="1" applyAlignment="1">
      <alignment horizontal="right" vertical="center"/>
    </xf>
    <xf numFmtId="0" fontId="14" fillId="9" borderId="3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165" fontId="15" fillId="9" borderId="3" xfId="0" applyNumberFormat="1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left" vertical="center" indent="1"/>
    </xf>
    <xf numFmtId="0" fontId="16" fillId="9" borderId="3" xfId="0" applyFont="1" applyFill="1" applyBorder="1" applyAlignment="1">
      <alignment horizontal="center" vertical="center"/>
    </xf>
    <xf numFmtId="164" fontId="15" fillId="9" borderId="3" xfId="0" applyNumberFormat="1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left" vertical="center" indent="2"/>
    </xf>
    <xf numFmtId="10" fontId="15" fillId="11" borderId="3" xfId="0" applyNumberFormat="1" applyFont="1" applyFill="1" applyBorder="1" applyAlignment="1">
      <alignment horizontal="right" vertical="center"/>
    </xf>
    <xf numFmtId="0" fontId="5" fillId="11" borderId="3" xfId="0" applyFont="1" applyFill="1" applyBorder="1" applyAlignment="1">
      <alignment horizontal="left" vertical="center" indent="1"/>
    </xf>
    <xf numFmtId="10" fontId="9" fillId="8" borderId="3" xfId="0" applyNumberFormat="1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left" vertical="center" indent="1"/>
    </xf>
    <xf numFmtId="0" fontId="8" fillId="11" borderId="3" xfId="0" applyFont="1" applyFill="1" applyBorder="1" applyAlignment="1">
      <alignment horizontal="left" vertical="center" indent="2"/>
    </xf>
    <xf numFmtId="166" fontId="9" fillId="11" borderId="3" xfId="0" applyNumberFormat="1" applyFont="1" applyFill="1" applyBorder="1" applyAlignment="1">
      <alignment horizontal="right" vertical="center"/>
    </xf>
    <xf numFmtId="0" fontId="18" fillId="9" borderId="3" xfId="0" applyFont="1" applyFill="1" applyBorder="1" applyAlignment="1">
      <alignment horizontal="left" vertical="center" indent="2"/>
    </xf>
    <xf numFmtId="167" fontId="15" fillId="9" borderId="3" xfId="0" applyNumberFormat="1" applyFont="1" applyFill="1" applyBorder="1" applyAlignment="1">
      <alignment horizontal="right" vertical="center"/>
    </xf>
    <xf numFmtId="1" fontId="9" fillId="9" borderId="3" xfId="0" applyNumberFormat="1" applyFont="1" applyFill="1" applyBorder="1" applyAlignment="1">
      <alignment horizontal="right" vertical="center"/>
    </xf>
    <xf numFmtId="167" fontId="9" fillId="6" borderId="3" xfId="0" applyNumberFormat="1" applyFont="1" applyFill="1" applyBorder="1" applyAlignment="1">
      <alignment horizontal="right" vertical="center"/>
    </xf>
    <xf numFmtId="167" fontId="9" fillId="9" borderId="3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/>
    </xf>
    <xf numFmtId="165" fontId="10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indent="1"/>
    </xf>
    <xf numFmtId="165" fontId="10" fillId="8" borderId="3" xfId="0" applyNumberFormat="1" applyFont="1" applyFill="1" applyBorder="1" applyAlignment="1">
      <alignment horizontal="right" vertical="center"/>
    </xf>
    <xf numFmtId="0" fontId="11" fillId="10" borderId="4" xfId="0" applyFont="1" applyFill="1" applyBorder="1" applyAlignment="1">
      <alignment horizontal="left" vertical="center" indent="2"/>
    </xf>
    <xf numFmtId="164" fontId="11" fillId="10" borderId="4" xfId="0" applyNumberFormat="1" applyFont="1" applyFill="1" applyBorder="1" applyAlignment="1">
      <alignment horizontal="right" vertical="center"/>
    </xf>
    <xf numFmtId="165" fontId="11" fillId="10" borderId="4" xfId="0" applyNumberFormat="1" applyFont="1" applyFill="1" applyBorder="1" applyAlignment="1">
      <alignment horizontal="right" vertical="center"/>
    </xf>
    <xf numFmtId="168" fontId="9" fillId="6" borderId="3" xfId="0" applyNumberFormat="1" applyFont="1" applyFill="1" applyBorder="1" applyAlignment="1">
      <alignment horizontal="right" vertical="center"/>
    </xf>
    <xf numFmtId="168" fontId="9" fillId="9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 indent="1"/>
    </xf>
    <xf numFmtId="0" fontId="15" fillId="5" borderId="3" xfId="0" applyFont="1" applyFill="1" applyBorder="1" applyAlignment="1">
      <alignment horizontal="right" vertical="center"/>
    </xf>
    <xf numFmtId="0" fontId="0" fillId="5" borderId="3" xfId="0" applyFill="1" applyBorder="1"/>
    <xf numFmtId="0" fontId="15" fillId="7" borderId="3" xfId="0" applyFont="1" applyFill="1" applyBorder="1" applyAlignment="1">
      <alignment horizontal="right" vertical="center"/>
    </xf>
    <xf numFmtId="0" fontId="0" fillId="7" borderId="3" xfId="0" applyFill="1" applyBorder="1"/>
    <xf numFmtId="0" fontId="15" fillId="8" borderId="3" xfId="0" applyFont="1" applyFill="1" applyBorder="1" applyAlignment="1">
      <alignment horizontal="right" vertical="center"/>
    </xf>
    <xf numFmtId="0" fontId="0" fillId="8" borderId="3" xfId="0" applyFill="1" applyBorder="1"/>
    <xf numFmtId="0" fontId="15" fillId="9" borderId="3" xfId="0" applyFont="1" applyFill="1" applyBorder="1" applyAlignment="1">
      <alignment horizontal="right" vertical="center"/>
    </xf>
    <xf numFmtId="0" fontId="0" fillId="9" borderId="3" xfId="0" applyFill="1" applyBorder="1"/>
    <xf numFmtId="0" fontId="15" fillId="11" borderId="3" xfId="0" applyFont="1" applyFill="1" applyBorder="1" applyAlignment="1">
      <alignment horizontal="right" vertical="center"/>
    </xf>
    <xf numFmtId="0" fontId="0" fillId="11" borderId="3" xfId="0" applyFill="1" applyBorder="1"/>
    <xf numFmtId="0" fontId="15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2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11" fillId="4" borderId="0" xfId="0" applyFont="1" applyFill="1"/>
    <xf numFmtId="0" fontId="11" fillId="4" borderId="1" xfId="0" applyFont="1" applyFill="1" applyBorder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2"/>
    </xf>
    <xf numFmtId="0" fontId="24" fillId="7" borderId="6" xfId="0" applyFont="1" applyFill="1" applyBorder="1" applyAlignment="1">
      <alignment horizontal="right" vertical="center"/>
    </xf>
    <xf numFmtId="0" fontId="17" fillId="7" borderId="6" xfId="0" applyFont="1" applyFill="1" applyBorder="1" applyAlignment="1">
      <alignment horizontal="left" vertical="center" indent="1"/>
    </xf>
    <xf numFmtId="0" fontId="5" fillId="7" borderId="6" xfId="0" applyFont="1" applyFill="1" applyBorder="1" applyAlignment="1">
      <alignment horizontal="left" vertical="center" indent="1"/>
    </xf>
    <xf numFmtId="0" fontId="8" fillId="6" borderId="6" xfId="0" applyFont="1" applyFill="1" applyBorder="1" applyAlignment="1">
      <alignment horizontal="left" vertical="center" indent="2"/>
    </xf>
    <xf numFmtId="0" fontId="24" fillId="6" borderId="6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horizontal="left" vertical="center" indent="1"/>
    </xf>
    <xf numFmtId="0" fontId="5" fillId="6" borderId="6" xfId="0" applyFont="1" applyFill="1" applyBorder="1" applyAlignment="1">
      <alignment horizontal="left" vertical="center" inden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10" fontId="24" fillId="6" borderId="6" xfId="0" applyNumberFormat="1" applyFont="1" applyFill="1" applyBorder="1" applyAlignment="1">
      <alignment horizontal="right" vertical="center"/>
    </xf>
    <xf numFmtId="9" fontId="24" fillId="7" borderId="6" xfId="0" applyNumberFormat="1" applyFont="1" applyFill="1" applyBorder="1" applyAlignment="1">
      <alignment horizontal="right" vertical="center"/>
    </xf>
    <xf numFmtId="169" fontId="24" fillId="6" borderId="6" xfId="0" applyNumberFormat="1" applyFont="1" applyFill="1" applyBorder="1" applyAlignment="1">
      <alignment horizontal="right" vertical="center"/>
    </xf>
    <xf numFmtId="169" fontId="24" fillId="7" borderId="6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 wrapText="1"/>
    </xf>
    <xf numFmtId="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1" fillId="4" borderId="0" xfId="0" applyFont="1" applyFill="1" applyAlignment="1">
      <alignment horizontal="center"/>
    </xf>
    <xf numFmtId="170" fontId="24" fillId="7" borderId="6" xfId="0" applyNumberFormat="1" applyFont="1" applyFill="1" applyBorder="1" applyAlignment="1">
      <alignment horizontal="right" vertical="center"/>
    </xf>
    <xf numFmtId="0" fontId="23" fillId="0" borderId="0" xfId="0" applyFont="1"/>
    <xf numFmtId="9" fontId="23" fillId="0" borderId="0" xfId="0" applyNumberFormat="1" applyFont="1" applyAlignment="1">
      <alignment horizontal="center"/>
    </xf>
    <xf numFmtId="170" fontId="24" fillId="6" borderId="6" xfId="0" applyNumberFormat="1" applyFont="1" applyFill="1" applyBorder="1" applyAlignment="1">
      <alignment horizontal="right" vertical="center"/>
    </xf>
    <xf numFmtId="0" fontId="25" fillId="7" borderId="6" xfId="0" applyFont="1" applyFill="1" applyBorder="1" applyAlignment="1">
      <alignment horizontal="right" vertical="center"/>
    </xf>
    <xf numFmtId="170" fontId="25" fillId="7" borderId="6" xfId="0" applyNumberFormat="1" applyFont="1" applyFill="1" applyBorder="1" applyAlignment="1">
      <alignment horizontal="right" vertical="center"/>
    </xf>
    <xf numFmtId="173" fontId="26" fillId="5" borderId="6" xfId="2" applyFont="1" applyFill="1" applyBorder="1" applyAlignment="1">
      <alignment horizontal="right" vertical="center"/>
    </xf>
    <xf numFmtId="10" fontId="25" fillId="7" borderId="6" xfId="0" applyNumberFormat="1" applyFont="1" applyFill="1" applyBorder="1" applyAlignment="1">
      <alignment horizontal="right" vertical="center"/>
    </xf>
    <xf numFmtId="10" fontId="25" fillId="7" borderId="6" xfId="3" applyNumberFormat="1" applyFont="1" applyFill="1" applyBorder="1" applyAlignment="1">
      <alignment horizontal="right" vertical="center"/>
    </xf>
    <xf numFmtId="10" fontId="25" fillId="5" borderId="6" xfId="3" applyNumberFormat="1" applyFont="1" applyFill="1" applyBorder="1" applyAlignment="1">
      <alignment horizontal="right" vertical="center"/>
    </xf>
    <xf numFmtId="169" fontId="25" fillId="7" borderId="6" xfId="0" applyNumberFormat="1" applyFont="1" applyFill="1" applyBorder="1" applyAlignment="1">
      <alignment horizontal="right" vertical="center"/>
    </xf>
    <xf numFmtId="2" fontId="25" fillId="7" borderId="6" xfId="0" applyNumberFormat="1" applyFont="1" applyFill="1" applyBorder="1" applyAlignment="1">
      <alignment horizontal="right" vertical="center"/>
    </xf>
    <xf numFmtId="0" fontId="25" fillId="6" borderId="6" xfId="0" applyFont="1" applyFill="1" applyBorder="1" applyAlignment="1">
      <alignment horizontal="right" vertical="center"/>
    </xf>
    <xf numFmtId="169" fontId="25" fillId="6" borderId="6" xfId="0" applyNumberFormat="1" applyFont="1" applyFill="1" applyBorder="1" applyAlignment="1">
      <alignment horizontal="right" vertical="center"/>
    </xf>
    <xf numFmtId="0" fontId="26" fillId="5" borderId="6" xfId="0" applyFont="1" applyFill="1" applyBorder="1" applyAlignment="1">
      <alignment horizontal="right" vertical="center"/>
    </xf>
    <xf numFmtId="170" fontId="25" fillId="6" borderId="6" xfId="0" applyNumberFormat="1" applyFont="1" applyFill="1" applyBorder="1" applyAlignment="1">
      <alignment horizontal="right" vertical="center"/>
    </xf>
    <xf numFmtId="2" fontId="26" fillId="5" borderId="6" xfId="0" applyNumberFormat="1" applyFont="1" applyFill="1" applyBorder="1" applyAlignment="1">
      <alignment horizontal="right" vertical="center"/>
    </xf>
    <xf numFmtId="174" fontId="25" fillId="7" borderId="6" xfId="0" applyNumberFormat="1" applyFont="1" applyFill="1" applyBorder="1" applyAlignment="1">
      <alignment horizontal="right" vertical="center"/>
    </xf>
    <xf numFmtId="0" fontId="27" fillId="11" borderId="6" xfId="0" applyFont="1" applyFill="1" applyBorder="1" applyAlignment="1">
      <alignment horizontal="center" vertical="center"/>
    </xf>
    <xf numFmtId="10" fontId="26" fillId="5" borderId="6" xfId="3" applyNumberFormat="1" applyFont="1" applyFill="1" applyBorder="1" applyAlignment="1">
      <alignment horizontal="right" vertical="center"/>
    </xf>
    <xf numFmtId="10" fontId="26" fillId="5" borderId="6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wrapText="1"/>
    </xf>
    <xf numFmtId="0" fontId="6" fillId="10" borderId="0" xfId="0" applyFont="1" applyFill="1"/>
    <xf numFmtId="0" fontId="6" fillId="10" borderId="0" xfId="0" applyFont="1" applyFill="1" applyAlignment="1">
      <alignment horizontal="left" vertical="center" indent="1"/>
    </xf>
    <xf numFmtId="0" fontId="29" fillId="0" borderId="0" xfId="0" applyFont="1" applyAlignment="1">
      <alignment vertical="center" wrapText="1"/>
    </xf>
    <xf numFmtId="0" fontId="17" fillId="7" borderId="10" xfId="0" applyFont="1" applyFill="1" applyBorder="1" applyAlignment="1">
      <alignment horizontal="left" vertical="center" wrapText="1" indent="1"/>
    </xf>
    <xf numFmtId="0" fontId="17" fillId="6" borderId="10" xfId="0" applyFont="1" applyFill="1" applyBorder="1" applyAlignment="1">
      <alignment horizontal="left" vertical="center" wrapText="1" indent="1"/>
    </xf>
    <xf numFmtId="0" fontId="0" fillId="0" borderId="11" xfId="0" applyBorder="1" applyAlignment="1">
      <alignment wrapText="1"/>
    </xf>
    <xf numFmtId="0" fontId="35" fillId="7" borderId="6" xfId="0" applyFont="1" applyFill="1" applyBorder="1" applyAlignment="1">
      <alignment vertical="center"/>
    </xf>
    <xf numFmtId="0" fontId="35" fillId="6" borderId="6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36" fillId="6" borderId="6" xfId="0" applyFont="1" applyFill="1" applyBorder="1"/>
    <xf numFmtId="0" fontId="36" fillId="7" borderId="6" xfId="0" applyFont="1" applyFill="1" applyBorder="1"/>
    <xf numFmtId="0" fontId="36" fillId="0" borderId="0" xfId="0" applyFont="1"/>
    <xf numFmtId="0" fontId="37" fillId="7" borderId="6" xfId="0" applyFont="1" applyFill="1" applyBorder="1"/>
    <xf numFmtId="0" fontId="37" fillId="6" borderId="6" xfId="0" applyFont="1" applyFill="1" applyBorder="1"/>
    <xf numFmtId="0" fontId="8" fillId="0" borderId="0" xfId="0" applyFont="1" applyAlignment="1">
      <alignment horizontal="left" vertical="center" indent="2"/>
    </xf>
    <xf numFmtId="0" fontId="25" fillId="0" borderId="0" xfId="0" applyFont="1" applyAlignment="1">
      <alignment horizontal="right" vertical="center"/>
    </xf>
    <xf numFmtId="0" fontId="0" fillId="0" borderId="14" xfId="0" applyBorder="1"/>
    <xf numFmtId="0" fontId="8" fillId="0" borderId="14" xfId="0" applyFont="1" applyBorder="1" applyAlignment="1">
      <alignment horizontal="left" vertical="center" indent="2"/>
    </xf>
    <xf numFmtId="0" fontId="25" fillId="0" borderId="14" xfId="0" applyFont="1" applyBorder="1" applyAlignment="1">
      <alignment horizontal="right" vertical="center"/>
    </xf>
    <xf numFmtId="0" fontId="0" fillId="0" borderId="15" xfId="0" applyBorder="1"/>
    <xf numFmtId="0" fontId="8" fillId="0" borderId="15" xfId="0" applyFont="1" applyBorder="1" applyAlignment="1">
      <alignment horizontal="left" vertical="center" indent="2"/>
    </xf>
    <xf numFmtId="0" fontId="25" fillId="0" borderId="15" xfId="0" applyFont="1" applyBorder="1" applyAlignment="1">
      <alignment horizontal="right" vertical="center"/>
    </xf>
    <xf numFmtId="0" fontId="25" fillId="7" borderId="9" xfId="0" applyFont="1" applyFill="1" applyBorder="1" applyAlignment="1">
      <alignment horizontal="right" vertical="center"/>
    </xf>
    <xf numFmtId="0" fontId="26" fillId="5" borderId="9" xfId="0" applyFont="1" applyFill="1" applyBorder="1" applyAlignment="1">
      <alignment horizontal="right" vertical="center"/>
    </xf>
    <xf numFmtId="173" fontId="25" fillId="0" borderId="0" xfId="2" applyFont="1" applyAlignment="1">
      <alignment horizontal="right" vertical="center"/>
    </xf>
    <xf numFmtId="173" fontId="25" fillId="0" borderId="0" xfId="0" applyNumberFormat="1" applyFont="1" applyAlignment="1">
      <alignment horizontal="right" vertical="center"/>
    </xf>
    <xf numFmtId="170" fontId="25" fillId="0" borderId="0" xfId="0" applyNumberFormat="1" applyFont="1" applyAlignment="1">
      <alignment horizontal="right" vertical="center"/>
    </xf>
    <xf numFmtId="169" fontId="25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173" fontId="26" fillId="0" borderId="0" xfId="2" applyFont="1" applyAlignment="1">
      <alignment horizontal="right" vertical="center"/>
    </xf>
    <xf numFmtId="173" fontId="26" fillId="0" borderId="0" xfId="0" applyNumberFormat="1" applyFont="1" applyAlignment="1">
      <alignment horizontal="right" vertical="center"/>
    </xf>
    <xf numFmtId="10" fontId="25" fillId="0" borderId="0" xfId="3" applyNumberFormat="1" applyFont="1" applyAlignment="1">
      <alignment horizontal="right" vertical="center"/>
    </xf>
    <xf numFmtId="10" fontId="25" fillId="7" borderId="7" xfId="0" applyNumberFormat="1" applyFont="1" applyFill="1" applyBorder="1" applyAlignment="1">
      <alignment horizontal="right" vertical="center"/>
    </xf>
    <xf numFmtId="2" fontId="25" fillId="7" borderId="7" xfId="0" applyNumberFormat="1" applyFont="1" applyFill="1" applyBorder="1" applyAlignment="1">
      <alignment horizontal="right" vertical="center"/>
    </xf>
    <xf numFmtId="0" fontId="25" fillId="7" borderId="7" xfId="0" applyFont="1" applyFill="1" applyBorder="1" applyAlignment="1">
      <alignment horizontal="right" vertical="center"/>
    </xf>
    <xf numFmtId="2" fontId="25" fillId="5" borderId="7" xfId="0" applyNumberFormat="1" applyFont="1" applyFill="1" applyBorder="1" applyAlignment="1">
      <alignment horizontal="right" vertical="center"/>
    </xf>
    <xf numFmtId="10" fontId="25" fillId="7" borderId="7" xfId="3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0" fontId="8" fillId="7" borderId="0" xfId="0" applyFont="1" applyFill="1" applyAlignment="1">
      <alignment horizontal="left" vertical="center" indent="2"/>
    </xf>
    <xf numFmtId="0" fontId="25" fillId="7" borderId="0" xfId="0" applyFont="1" applyFill="1" applyAlignment="1">
      <alignment horizontal="right" vertical="center"/>
    </xf>
    <xf numFmtId="0" fontId="8" fillId="7" borderId="14" xfId="0" applyFont="1" applyFill="1" applyBorder="1" applyAlignment="1">
      <alignment horizontal="left" vertical="center" indent="2"/>
    </xf>
    <xf numFmtId="0" fontId="25" fillId="7" borderId="14" xfId="0" applyFont="1" applyFill="1" applyBorder="1" applyAlignment="1">
      <alignment horizontal="right" vertical="center"/>
    </xf>
    <xf numFmtId="0" fontId="0" fillId="0" borderId="19" xfId="0" applyBorder="1"/>
    <xf numFmtId="0" fontId="25" fillId="0" borderId="19" xfId="0" applyFont="1" applyBorder="1" applyAlignment="1">
      <alignment horizontal="right" vertical="center"/>
    </xf>
    <xf numFmtId="0" fontId="26" fillId="0" borderId="19" xfId="0" applyFont="1" applyBorder="1" applyAlignment="1">
      <alignment horizontal="right" vertical="center"/>
    </xf>
    <xf numFmtId="0" fontId="25" fillId="12" borderId="6" xfId="0" applyFont="1" applyFill="1" applyBorder="1" applyAlignment="1">
      <alignment horizontal="right" vertical="center"/>
    </xf>
    <xf numFmtId="0" fontId="25" fillId="12" borderId="9" xfId="0" applyFont="1" applyFill="1" applyBorder="1" applyAlignment="1">
      <alignment horizontal="right" vertical="center"/>
    </xf>
    <xf numFmtId="0" fontId="25" fillId="7" borderId="20" xfId="0" applyFont="1" applyFill="1" applyBorder="1" applyAlignment="1">
      <alignment horizontal="right" vertical="center"/>
    </xf>
    <xf numFmtId="169" fontId="26" fillId="5" borderId="20" xfId="0" applyNumberFormat="1" applyFont="1" applyFill="1" applyBorder="1" applyAlignment="1">
      <alignment horizontal="right" vertical="center"/>
    </xf>
    <xf numFmtId="0" fontId="26" fillId="0" borderId="14" xfId="0" applyFont="1" applyBorder="1" applyAlignment="1">
      <alignment horizontal="right" vertical="center"/>
    </xf>
    <xf numFmtId="0" fontId="26" fillId="0" borderId="21" xfId="0" applyFont="1" applyBorder="1" applyAlignment="1">
      <alignment horizontal="right" vertical="center"/>
    </xf>
    <xf numFmtId="0" fontId="8" fillId="14" borderId="6" xfId="0" applyFont="1" applyFill="1" applyBorder="1" applyAlignment="1">
      <alignment horizontal="left" vertical="center" indent="2"/>
    </xf>
    <xf numFmtId="0" fontId="40" fillId="0" borderId="0" xfId="0" applyFont="1"/>
    <xf numFmtId="0" fontId="41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 indent="2"/>
    </xf>
    <xf numFmtId="10" fontId="25" fillId="7" borderId="10" xfId="0" applyNumberFormat="1" applyFont="1" applyFill="1" applyBorder="1" applyAlignment="1">
      <alignment horizontal="right" vertical="center"/>
    </xf>
    <xf numFmtId="169" fontId="25" fillId="7" borderId="10" xfId="0" applyNumberFormat="1" applyFont="1" applyFill="1" applyBorder="1" applyAlignment="1">
      <alignment horizontal="right" vertical="center"/>
    </xf>
    <xf numFmtId="169" fontId="25" fillId="7" borderId="20" xfId="0" applyNumberFormat="1" applyFont="1" applyFill="1" applyBorder="1" applyAlignment="1">
      <alignment horizontal="right" vertical="center"/>
    </xf>
    <xf numFmtId="169" fontId="25" fillId="7" borderId="22" xfId="0" applyNumberFormat="1" applyFont="1" applyFill="1" applyBorder="1" applyAlignment="1">
      <alignment horizontal="right" vertical="center"/>
    </xf>
    <xf numFmtId="0" fontId="8" fillId="7" borderId="27" xfId="0" applyFont="1" applyFill="1" applyBorder="1" applyAlignment="1">
      <alignment horizontal="left" vertical="center" indent="2"/>
    </xf>
    <xf numFmtId="170" fontId="25" fillId="7" borderId="28" xfId="0" applyNumberFormat="1" applyFont="1" applyFill="1" applyBorder="1" applyAlignment="1">
      <alignment horizontal="right" vertical="center"/>
    </xf>
    <xf numFmtId="0" fontId="13" fillId="9" borderId="22" xfId="0" applyFont="1" applyFill="1" applyBorder="1" applyAlignment="1">
      <alignment horizontal="right" vertical="center"/>
    </xf>
    <xf numFmtId="0" fontId="36" fillId="0" borderId="7" xfId="0" applyFont="1" applyBorder="1"/>
    <xf numFmtId="0" fontId="36" fillId="0" borderId="7" xfId="0" applyFont="1" applyBorder="1" applyAlignment="1">
      <alignment horizontal="center"/>
    </xf>
    <xf numFmtId="10" fontId="28" fillId="15" borderId="0" xfId="3" applyNumberFormat="1" applyFill="1"/>
    <xf numFmtId="169" fontId="25" fillId="12" borderId="6" xfId="0" applyNumberFormat="1" applyFont="1" applyFill="1" applyBorder="1" applyAlignment="1">
      <alignment horizontal="right" vertical="center"/>
    </xf>
    <xf numFmtId="169" fontId="25" fillId="12" borderId="10" xfId="0" applyNumberFormat="1" applyFont="1" applyFill="1" applyBorder="1" applyAlignment="1">
      <alignment horizontal="right" vertical="center"/>
    </xf>
    <xf numFmtId="169" fontId="25" fillId="12" borderId="17" xfId="0" applyNumberFormat="1" applyFont="1" applyFill="1" applyBorder="1" applyAlignment="1">
      <alignment horizontal="right" vertical="center"/>
    </xf>
    <xf numFmtId="169" fontId="25" fillId="12" borderId="24" xfId="0" applyNumberFormat="1" applyFont="1" applyFill="1" applyBorder="1" applyAlignment="1">
      <alignment horizontal="right" vertical="center"/>
    </xf>
    <xf numFmtId="169" fontId="25" fillId="6" borderId="17" xfId="0" applyNumberFormat="1" applyFont="1" applyFill="1" applyBorder="1" applyAlignment="1">
      <alignment horizontal="right" vertical="center"/>
    </xf>
    <xf numFmtId="170" fontId="25" fillId="6" borderId="24" xfId="0" applyNumberFormat="1" applyFont="1" applyFill="1" applyBorder="1" applyAlignment="1">
      <alignment horizontal="right" vertical="center"/>
    </xf>
    <xf numFmtId="170" fontId="25" fillId="6" borderId="10" xfId="0" applyNumberFormat="1" applyFont="1" applyFill="1" applyBorder="1" applyAlignment="1">
      <alignment horizontal="right" vertical="center"/>
    </xf>
    <xf numFmtId="173" fontId="4" fillId="0" borderId="0" xfId="2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16" borderId="7" xfId="0" applyFont="1" applyFill="1" applyBorder="1" applyAlignment="1">
      <alignment horizontal="left" vertical="center" indent="2"/>
    </xf>
    <xf numFmtId="10" fontId="4" fillId="16" borderId="7" xfId="2" applyNumberFormat="1" applyFont="1" applyFill="1" applyBorder="1" applyAlignment="1">
      <alignment horizontal="right" vertical="center"/>
    </xf>
    <xf numFmtId="175" fontId="5" fillId="0" borderId="0" xfId="0" applyNumberFormat="1" applyFont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17" fillId="0" borderId="0" xfId="0" applyFont="1"/>
    <xf numFmtId="0" fontId="9" fillId="0" borderId="0" xfId="0" applyFont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38" fillId="14" borderId="6" xfId="0" applyFont="1" applyFill="1" applyBorder="1" applyAlignment="1">
      <alignment horizontal="left" vertical="center" indent="2"/>
    </xf>
    <xf numFmtId="170" fontId="9" fillId="6" borderId="7" xfId="0" applyNumberFormat="1" applyFont="1" applyFill="1" applyBorder="1" applyAlignment="1">
      <alignment horizontal="right" vertical="center"/>
    </xf>
    <xf numFmtId="170" fontId="9" fillId="7" borderId="7" xfId="0" applyNumberFormat="1" applyFont="1" applyFill="1" applyBorder="1" applyAlignment="1">
      <alignment horizontal="right" vertical="center"/>
    </xf>
    <xf numFmtId="0" fontId="38" fillId="17" borderId="7" xfId="0" applyFont="1" applyFill="1" applyBorder="1" applyAlignment="1">
      <alignment horizontal="left" vertical="center" indent="2"/>
    </xf>
    <xf numFmtId="0" fontId="27" fillId="11" borderId="20" xfId="0" applyFont="1" applyFill="1" applyBorder="1" applyAlignment="1">
      <alignment horizontal="center" vertical="center"/>
    </xf>
    <xf numFmtId="170" fontId="9" fillId="6" borderId="8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 indent="2"/>
    </xf>
    <xf numFmtId="0" fontId="32" fillId="0" borderId="0" xfId="0" applyFont="1"/>
    <xf numFmtId="0" fontId="33" fillId="0" borderId="0" xfId="0" applyFont="1"/>
    <xf numFmtId="10" fontId="32" fillId="15" borderId="7" xfId="3" applyNumberFormat="1" applyFont="1" applyFill="1" applyBorder="1" applyAlignment="1">
      <alignment horizontal="right" vertical="center"/>
    </xf>
    <xf numFmtId="2" fontId="32" fillId="15" borderId="7" xfId="0" applyNumberFormat="1" applyFont="1" applyFill="1" applyBorder="1" applyAlignment="1">
      <alignment horizontal="right" vertical="center"/>
    </xf>
    <xf numFmtId="10" fontId="32" fillId="15" borderId="7" xfId="0" applyNumberFormat="1" applyFont="1" applyFill="1" applyBorder="1" applyAlignment="1">
      <alignment horizontal="right" vertical="center"/>
    </xf>
    <xf numFmtId="10" fontId="32" fillId="0" borderId="7" xfId="3" applyNumberFormat="1" applyFont="1" applyBorder="1" applyAlignment="1">
      <alignment horizontal="right" vertical="center"/>
    </xf>
    <xf numFmtId="2" fontId="32" fillId="0" borderId="7" xfId="0" applyNumberFormat="1" applyFont="1" applyBorder="1" applyAlignment="1">
      <alignment horizontal="right" vertical="center"/>
    </xf>
    <xf numFmtId="10" fontId="32" fillId="0" borderId="7" xfId="0" applyNumberFormat="1" applyFont="1" applyBorder="1" applyAlignment="1">
      <alignment horizontal="right" vertical="center"/>
    </xf>
    <xf numFmtId="10" fontId="30" fillId="19" borderId="7" xfId="3" applyNumberFormat="1" applyFont="1" applyFill="1" applyBorder="1" applyAlignment="1">
      <alignment horizontal="right" vertical="center"/>
    </xf>
    <xf numFmtId="2" fontId="30" fillId="19" borderId="7" xfId="0" applyNumberFormat="1" applyFont="1" applyFill="1" applyBorder="1" applyAlignment="1">
      <alignment horizontal="right" vertical="center"/>
    </xf>
    <xf numFmtId="10" fontId="30" fillId="19" borderId="7" xfId="0" applyNumberFormat="1" applyFont="1" applyFill="1" applyBorder="1" applyAlignment="1">
      <alignment horizontal="right" vertical="center"/>
    </xf>
    <xf numFmtId="9" fontId="25" fillId="15" borderId="7" xfId="3" applyFont="1" applyFill="1" applyBorder="1" applyAlignment="1">
      <alignment horizontal="right" vertical="center"/>
    </xf>
    <xf numFmtId="10" fontId="25" fillId="15" borderId="7" xfId="0" applyNumberFormat="1" applyFont="1" applyFill="1" applyBorder="1" applyAlignment="1">
      <alignment horizontal="right" vertical="center"/>
    </xf>
    <xf numFmtId="2" fontId="25" fillId="15" borderId="7" xfId="0" applyNumberFormat="1" applyFont="1" applyFill="1" applyBorder="1" applyAlignment="1">
      <alignment horizontal="right" vertical="center"/>
    </xf>
    <xf numFmtId="9" fontId="25" fillId="0" borderId="7" xfId="3" applyFont="1" applyBorder="1" applyAlignment="1">
      <alignment horizontal="right" vertical="center"/>
    </xf>
    <xf numFmtId="10" fontId="25" fillId="0" borderId="7" xfId="0" applyNumberFormat="1" applyFont="1" applyBorder="1" applyAlignment="1">
      <alignment horizontal="right" vertical="center"/>
    </xf>
    <xf numFmtId="2" fontId="25" fillId="0" borderId="7" xfId="0" applyNumberFormat="1" applyFont="1" applyBorder="1" applyAlignment="1">
      <alignment horizontal="right" vertical="center"/>
    </xf>
    <xf numFmtId="9" fontId="26" fillId="19" borderId="7" xfId="3" applyFont="1" applyFill="1" applyBorder="1" applyAlignment="1">
      <alignment horizontal="right" vertical="center"/>
    </xf>
    <xf numFmtId="10" fontId="26" fillId="19" borderId="7" xfId="0" applyNumberFormat="1" applyFont="1" applyFill="1" applyBorder="1" applyAlignment="1">
      <alignment horizontal="right" vertical="center"/>
    </xf>
    <xf numFmtId="2" fontId="26" fillId="19" borderId="7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173" fontId="25" fillId="6" borderId="6" xfId="2" applyFont="1" applyFill="1" applyBorder="1" applyAlignment="1">
      <alignment horizontal="right" vertical="center"/>
    </xf>
    <xf numFmtId="10" fontId="25" fillId="6" borderId="6" xfId="0" applyNumberFormat="1" applyFont="1" applyFill="1" applyBorder="1" applyAlignment="1">
      <alignment horizontal="right" vertical="center"/>
    </xf>
    <xf numFmtId="2" fontId="25" fillId="6" borderId="6" xfId="0" applyNumberFormat="1" applyFont="1" applyFill="1" applyBorder="1" applyAlignment="1">
      <alignment horizontal="right" vertical="center"/>
    </xf>
    <xf numFmtId="0" fontId="25" fillId="0" borderId="6" xfId="0" applyFont="1" applyBorder="1" applyAlignment="1">
      <alignment horizontal="right" vertical="center"/>
    </xf>
    <xf numFmtId="173" fontId="25" fillId="0" borderId="6" xfId="2" applyFont="1" applyBorder="1" applyAlignment="1">
      <alignment horizontal="right" vertical="center"/>
    </xf>
    <xf numFmtId="10" fontId="25" fillId="0" borderId="6" xfId="0" applyNumberFormat="1" applyFont="1" applyBorder="1" applyAlignment="1">
      <alignment horizontal="right" vertical="center"/>
    </xf>
    <xf numFmtId="2" fontId="25" fillId="0" borderId="6" xfId="0" applyNumberFormat="1" applyFont="1" applyBorder="1" applyAlignment="1">
      <alignment horizontal="right" vertical="center"/>
    </xf>
    <xf numFmtId="10" fontId="25" fillId="12" borderId="6" xfId="0" applyNumberFormat="1" applyFont="1" applyFill="1" applyBorder="1" applyAlignment="1">
      <alignment horizontal="right" vertical="center"/>
    </xf>
    <xf numFmtId="2" fontId="25" fillId="12" borderId="6" xfId="0" applyNumberFormat="1" applyFont="1" applyFill="1" applyBorder="1" applyAlignment="1">
      <alignment horizontal="right" vertical="center"/>
    </xf>
    <xf numFmtId="10" fontId="25" fillId="6" borderId="6" xfId="3" applyNumberFormat="1" applyFont="1" applyFill="1" applyBorder="1" applyAlignment="1">
      <alignment horizontal="right" vertical="center"/>
    </xf>
    <xf numFmtId="10" fontId="25" fillId="0" borderId="6" xfId="3" applyNumberFormat="1" applyFont="1" applyBorder="1" applyAlignment="1">
      <alignment horizontal="right" vertical="center"/>
    </xf>
    <xf numFmtId="0" fontId="25" fillId="0" borderId="9" xfId="0" applyFont="1" applyBorder="1" applyAlignment="1">
      <alignment horizontal="right" vertical="center"/>
    </xf>
    <xf numFmtId="10" fontId="25" fillId="18" borderId="6" xfId="3" applyNumberFormat="1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left" vertical="center" indent="2"/>
    </xf>
    <xf numFmtId="171" fontId="32" fillId="7" borderId="6" xfId="0" applyNumberFormat="1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left" vertical="center" indent="2"/>
    </xf>
    <xf numFmtId="171" fontId="32" fillId="12" borderId="6" xfId="0" applyNumberFormat="1" applyFont="1" applyFill="1" applyBorder="1" applyAlignment="1">
      <alignment horizontal="right" vertical="center"/>
    </xf>
    <xf numFmtId="0" fontId="32" fillId="12" borderId="6" xfId="0" applyFont="1" applyFill="1" applyBorder="1" applyAlignment="1">
      <alignment horizontal="right" vertical="center"/>
    </xf>
    <xf numFmtId="0" fontId="32" fillId="12" borderId="9" xfId="0" applyFont="1" applyFill="1" applyBorder="1" applyAlignment="1">
      <alignment horizontal="right" vertical="center"/>
    </xf>
    <xf numFmtId="169" fontId="32" fillId="7" borderId="6" xfId="0" applyNumberFormat="1" applyFont="1" applyFill="1" applyBorder="1" applyAlignment="1">
      <alignment horizontal="right" vertical="center"/>
    </xf>
    <xf numFmtId="169" fontId="32" fillId="7" borderId="9" xfId="0" applyNumberFormat="1" applyFont="1" applyFill="1" applyBorder="1" applyAlignment="1">
      <alignment horizontal="right" vertical="center"/>
    </xf>
    <xf numFmtId="0" fontId="31" fillId="5" borderId="12" xfId="0" applyFont="1" applyFill="1" applyBorder="1" applyAlignment="1">
      <alignment horizontal="left" vertical="center" indent="2"/>
    </xf>
    <xf numFmtId="171" fontId="31" fillId="5" borderId="6" xfId="0" applyNumberFormat="1" applyFont="1" applyFill="1" applyBorder="1" applyAlignment="1">
      <alignment horizontal="left" vertical="center" indent="2"/>
    </xf>
    <xf numFmtId="0" fontId="31" fillId="5" borderId="6" xfId="0" applyFont="1" applyFill="1" applyBorder="1" applyAlignment="1">
      <alignment horizontal="left" vertical="center" indent="2"/>
    </xf>
    <xf numFmtId="0" fontId="32" fillId="7" borderId="6" xfId="0" applyFont="1" applyFill="1" applyBorder="1" applyAlignment="1">
      <alignment horizontal="right" vertical="center"/>
    </xf>
    <xf numFmtId="0" fontId="32" fillId="7" borderId="9" xfId="0" applyFont="1" applyFill="1" applyBorder="1" applyAlignment="1">
      <alignment horizontal="right" vertical="center"/>
    </xf>
    <xf numFmtId="172" fontId="32" fillId="12" borderId="6" xfId="0" applyNumberFormat="1" applyFont="1" applyFill="1" applyBorder="1" applyAlignment="1">
      <alignment horizontal="right" vertical="center"/>
    </xf>
    <xf numFmtId="172" fontId="32" fillId="12" borderId="9" xfId="0" applyNumberFormat="1" applyFont="1" applyFill="1" applyBorder="1" applyAlignment="1">
      <alignment horizontal="right" vertical="center"/>
    </xf>
    <xf numFmtId="2" fontId="32" fillId="7" borderId="6" xfId="0" applyNumberFormat="1" applyFont="1" applyFill="1" applyBorder="1" applyAlignment="1">
      <alignment horizontal="right" vertical="center"/>
    </xf>
    <xf numFmtId="2" fontId="32" fillId="7" borderId="9" xfId="0" applyNumberFormat="1" applyFont="1" applyFill="1" applyBorder="1" applyAlignment="1">
      <alignment horizontal="right" vertical="center"/>
    </xf>
    <xf numFmtId="9" fontId="32" fillId="12" borderId="6" xfId="0" applyNumberFormat="1" applyFont="1" applyFill="1" applyBorder="1" applyAlignment="1">
      <alignment horizontal="right" vertical="center"/>
    </xf>
    <xf numFmtId="9" fontId="32" fillId="12" borderId="9" xfId="0" applyNumberFormat="1" applyFont="1" applyFill="1" applyBorder="1" applyAlignment="1">
      <alignment horizontal="right" vertical="center"/>
    </xf>
    <xf numFmtId="170" fontId="32" fillId="12" borderId="6" xfId="0" applyNumberFormat="1" applyFont="1" applyFill="1" applyBorder="1" applyAlignment="1">
      <alignment horizontal="right" vertical="center"/>
    </xf>
    <xf numFmtId="172" fontId="32" fillId="7" borderId="6" xfId="0" applyNumberFormat="1" applyFont="1" applyFill="1" applyBorder="1" applyAlignment="1">
      <alignment horizontal="right" vertical="center"/>
    </xf>
    <xf numFmtId="172" fontId="32" fillId="7" borderId="9" xfId="0" applyNumberFormat="1" applyFont="1" applyFill="1" applyBorder="1" applyAlignment="1">
      <alignment horizontal="right" vertical="center"/>
    </xf>
    <xf numFmtId="170" fontId="30" fillId="5" borderId="6" xfId="0" applyNumberFormat="1" applyFont="1" applyFill="1" applyBorder="1" applyAlignment="1">
      <alignment horizontal="right" vertical="center"/>
    </xf>
    <xf numFmtId="0" fontId="34" fillId="20" borderId="12" xfId="0" applyFont="1" applyFill="1" applyBorder="1" applyAlignment="1">
      <alignment horizontal="left" vertical="center" indent="2"/>
    </xf>
    <xf numFmtId="169" fontId="43" fillId="20" borderId="16" xfId="0" applyNumberFormat="1" applyFont="1" applyFill="1" applyBorder="1" applyAlignment="1">
      <alignment horizontal="right" vertical="center"/>
    </xf>
    <xf numFmtId="169" fontId="32" fillId="6" borderId="6" xfId="0" applyNumberFormat="1" applyFont="1" applyFill="1" applyBorder="1" applyAlignment="1">
      <alignment horizontal="right" vertical="center"/>
    </xf>
    <xf numFmtId="169" fontId="32" fillId="6" borderId="9" xfId="0" applyNumberFormat="1" applyFont="1" applyFill="1" applyBorder="1" applyAlignment="1">
      <alignment horizontal="right" vertical="center"/>
    </xf>
    <xf numFmtId="0" fontId="1" fillId="12" borderId="6" xfId="0" applyFont="1" applyFill="1" applyBorder="1" applyAlignment="1">
      <alignment horizontal="left" vertical="center" indent="2"/>
    </xf>
    <xf numFmtId="169" fontId="32" fillId="12" borderId="6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horizontal="left" vertical="center" indent="2"/>
    </xf>
    <xf numFmtId="169" fontId="32" fillId="0" borderId="6" xfId="0" applyNumberFormat="1" applyFont="1" applyBorder="1" applyAlignment="1">
      <alignment horizontal="right" vertical="center"/>
    </xf>
    <xf numFmtId="0" fontId="6" fillId="21" borderId="0" xfId="0" applyFont="1" applyFill="1"/>
    <xf numFmtId="172" fontId="32" fillId="6" borderId="6" xfId="0" applyNumberFormat="1" applyFont="1" applyFill="1" applyBorder="1" applyAlignment="1">
      <alignment horizontal="right" vertical="center"/>
    </xf>
    <xf numFmtId="172" fontId="32" fillId="6" borderId="9" xfId="0" applyNumberFormat="1" applyFont="1" applyFill="1" applyBorder="1" applyAlignment="1">
      <alignment horizontal="right" vertical="center"/>
    </xf>
    <xf numFmtId="170" fontId="32" fillId="6" borderId="6" xfId="0" applyNumberFormat="1" applyFont="1" applyFill="1" applyBorder="1" applyAlignment="1">
      <alignment horizontal="right" vertical="center"/>
    </xf>
    <xf numFmtId="170" fontId="32" fillId="6" borderId="9" xfId="0" applyNumberFormat="1" applyFont="1" applyFill="1" applyBorder="1" applyAlignment="1">
      <alignment horizontal="right" vertical="center"/>
    </xf>
    <xf numFmtId="169" fontId="30" fillId="5" borderId="9" xfId="0" applyNumberFormat="1" applyFont="1" applyFill="1" applyBorder="1" applyAlignment="1">
      <alignment horizontal="right" vertical="center"/>
    </xf>
    <xf numFmtId="10" fontId="32" fillId="7" borderId="6" xfId="3" applyNumberFormat="1" applyFont="1" applyFill="1" applyBorder="1" applyAlignment="1">
      <alignment horizontal="right" vertical="center"/>
    </xf>
    <xf numFmtId="10" fontId="32" fillId="7" borderId="9" xfId="3" applyNumberFormat="1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center" vertical="center"/>
    </xf>
    <xf numFmtId="171" fontId="32" fillId="12" borderId="9" xfId="0" applyNumberFormat="1" applyFont="1" applyFill="1" applyBorder="1" applyAlignment="1">
      <alignment horizontal="right" vertical="center"/>
    </xf>
    <xf numFmtId="170" fontId="32" fillId="7" borderId="6" xfId="0" applyNumberFormat="1" applyFont="1" applyFill="1" applyBorder="1" applyAlignment="1">
      <alignment horizontal="right" vertical="center"/>
    </xf>
    <xf numFmtId="170" fontId="32" fillId="7" borderId="9" xfId="0" applyNumberFormat="1" applyFont="1" applyFill="1" applyBorder="1" applyAlignment="1">
      <alignment horizontal="right" vertical="center"/>
    </xf>
    <xf numFmtId="170" fontId="32" fillId="12" borderId="9" xfId="0" applyNumberFormat="1" applyFont="1" applyFill="1" applyBorder="1" applyAlignment="1">
      <alignment horizontal="right" vertical="center"/>
    </xf>
    <xf numFmtId="171" fontId="32" fillId="7" borderId="9" xfId="0" applyNumberFormat="1" applyFont="1" applyFill="1" applyBorder="1" applyAlignment="1">
      <alignment horizontal="right" vertical="center"/>
    </xf>
    <xf numFmtId="10" fontId="33" fillId="0" borderId="0" xfId="0" applyNumberFormat="1" applyFont="1"/>
    <xf numFmtId="10" fontId="1" fillId="7" borderId="6" xfId="0" applyNumberFormat="1" applyFont="1" applyFill="1" applyBorder="1" applyAlignment="1">
      <alignment horizontal="left" vertical="center" indent="2"/>
    </xf>
    <xf numFmtId="10" fontId="32" fillId="7" borderId="6" xfId="0" applyNumberFormat="1" applyFont="1" applyFill="1" applyBorder="1" applyAlignment="1">
      <alignment horizontal="right" vertical="center"/>
    </xf>
    <xf numFmtId="10" fontId="32" fillId="7" borderId="9" xfId="0" applyNumberFormat="1" applyFont="1" applyFill="1" applyBorder="1" applyAlignment="1">
      <alignment horizontal="right" vertical="center"/>
    </xf>
    <xf numFmtId="171" fontId="32" fillId="12" borderId="6" xfId="1" applyFont="1" applyFill="1" applyBorder="1" applyAlignment="1">
      <alignment horizontal="right" vertical="center"/>
    </xf>
    <xf numFmtId="171" fontId="32" fillId="12" borderId="9" xfId="1" applyFont="1" applyFill="1" applyBorder="1" applyAlignment="1">
      <alignment horizontal="right" vertical="center"/>
    </xf>
    <xf numFmtId="172" fontId="32" fillId="12" borderId="6" xfId="1" applyNumberFormat="1" applyFont="1" applyFill="1" applyBorder="1" applyAlignment="1">
      <alignment horizontal="right" vertical="center"/>
    </xf>
    <xf numFmtId="172" fontId="32" fillId="12" borderId="9" xfId="1" applyNumberFormat="1" applyFont="1" applyFill="1" applyBorder="1" applyAlignment="1">
      <alignment horizontal="right" vertical="center"/>
    </xf>
    <xf numFmtId="172" fontId="32" fillId="7" borderId="6" xfId="1" applyNumberFormat="1" applyFont="1" applyFill="1" applyBorder="1" applyAlignment="1">
      <alignment horizontal="right" vertical="center"/>
    </xf>
    <xf numFmtId="172" fontId="32" fillId="7" borderId="9" xfId="1" applyNumberFormat="1" applyFont="1" applyFill="1" applyBorder="1" applyAlignment="1">
      <alignment horizontal="right" vertical="center"/>
    </xf>
    <xf numFmtId="10" fontId="32" fillId="12" borderId="6" xfId="3" applyNumberFormat="1" applyFont="1" applyFill="1" applyBorder="1" applyAlignment="1">
      <alignment horizontal="right" vertical="center"/>
    </xf>
    <xf numFmtId="10" fontId="32" fillId="12" borderId="9" xfId="3" applyNumberFormat="1" applyFont="1" applyFill="1" applyBorder="1" applyAlignment="1">
      <alignment horizontal="right" vertical="center"/>
    </xf>
    <xf numFmtId="169" fontId="30" fillId="5" borderId="12" xfId="0" applyNumberFormat="1" applyFont="1" applyFill="1" applyBorder="1" applyAlignment="1">
      <alignment horizontal="right" vertical="center"/>
    </xf>
    <xf numFmtId="169" fontId="30" fillId="5" borderId="16" xfId="0" applyNumberFormat="1" applyFont="1" applyFill="1" applyBorder="1" applyAlignment="1">
      <alignment horizontal="right" vertical="center"/>
    </xf>
    <xf numFmtId="173" fontId="33" fillId="0" borderId="0" xfId="2" applyFont="1"/>
    <xf numFmtId="171" fontId="32" fillId="7" borderId="6" xfId="0" applyNumberFormat="1" applyFont="1" applyFill="1" applyBorder="1" applyAlignment="1">
      <alignment horizontal="left" vertical="center" indent="2"/>
    </xf>
    <xf numFmtId="171" fontId="32" fillId="12" borderId="6" xfId="0" applyNumberFormat="1" applyFont="1" applyFill="1" applyBorder="1" applyAlignment="1">
      <alignment horizontal="left" vertical="center" indent="2"/>
    </xf>
    <xf numFmtId="171" fontId="30" fillId="5" borderId="6" xfId="0" applyNumberFormat="1" applyFont="1" applyFill="1" applyBorder="1" applyAlignment="1">
      <alignment horizontal="left" vertical="center" indent="2"/>
    </xf>
    <xf numFmtId="171" fontId="32" fillId="7" borderId="12" xfId="0" applyNumberFormat="1" applyFont="1" applyFill="1" applyBorder="1" applyAlignment="1">
      <alignment horizontal="left" vertical="center" indent="2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2"/>
    </xf>
    <xf numFmtId="0" fontId="6" fillId="22" borderId="15" xfId="0" applyFont="1" applyFill="1" applyBorder="1" applyAlignment="1">
      <alignment horizontal="center" vertical="center"/>
    </xf>
    <xf numFmtId="0" fontId="6" fillId="22" borderId="3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left" vertical="center" indent="2"/>
    </xf>
    <xf numFmtId="0" fontId="1" fillId="13" borderId="7" xfId="0" applyFont="1" applyFill="1" applyBorder="1" applyAlignment="1">
      <alignment horizontal="left" vertical="center" indent="2"/>
    </xf>
    <xf numFmtId="0" fontId="31" fillId="12" borderId="7" xfId="0" applyFont="1" applyFill="1" applyBorder="1" applyAlignment="1">
      <alignment horizontal="left" vertical="center" indent="2"/>
    </xf>
    <xf numFmtId="0" fontId="31" fillId="0" borderId="7" xfId="0" applyFont="1" applyBorder="1" applyAlignment="1">
      <alignment horizontal="left" vertical="center" indent="2"/>
    </xf>
    <xf numFmtId="2" fontId="26" fillId="0" borderId="7" xfId="0" applyNumberFormat="1" applyFont="1" applyBorder="1" applyAlignment="1">
      <alignment horizontal="right" vertical="center"/>
    </xf>
    <xf numFmtId="0" fontId="1" fillId="7" borderId="20" xfId="0" applyFont="1" applyFill="1" applyBorder="1" applyAlignment="1">
      <alignment horizontal="left" vertical="center" indent="2"/>
    </xf>
    <xf numFmtId="0" fontId="31" fillId="5" borderId="20" xfId="0" applyFont="1" applyFill="1" applyBorder="1" applyAlignment="1">
      <alignment horizontal="left" vertical="center" indent="2"/>
    </xf>
    <xf numFmtId="0" fontId="1" fillId="6" borderId="13" xfId="0" applyFont="1" applyFill="1" applyBorder="1" applyAlignment="1">
      <alignment horizontal="left" vertical="center" indent="2"/>
    </xf>
    <xf numFmtId="169" fontId="25" fillId="6" borderId="13" xfId="0" applyNumberFormat="1" applyFont="1" applyFill="1" applyBorder="1" applyAlignment="1">
      <alignment horizontal="right" vertical="center"/>
    </xf>
    <xf numFmtId="0" fontId="1" fillId="0" borderId="7" xfId="0" applyFont="1" applyBorder="1" applyAlignment="1">
      <alignment horizontal="left" vertical="center" indent="2"/>
    </xf>
    <xf numFmtId="169" fontId="32" fillId="12" borderId="9" xfId="0" applyNumberFormat="1" applyFont="1" applyFill="1" applyBorder="1" applyAlignment="1">
      <alignment horizontal="right" vertical="center"/>
    </xf>
    <xf numFmtId="9" fontId="32" fillId="7" borderId="9" xfId="0" applyNumberFormat="1" applyFont="1" applyFill="1" applyBorder="1" applyAlignment="1">
      <alignment horizontal="right" vertical="center"/>
    </xf>
    <xf numFmtId="170" fontId="32" fillId="7" borderId="6" xfId="3" applyNumberFormat="1" applyFont="1" applyFill="1" applyBorder="1" applyAlignment="1">
      <alignment horizontal="right" vertical="center"/>
    </xf>
    <xf numFmtId="0" fontId="1" fillId="7" borderId="25" xfId="0" applyFont="1" applyFill="1" applyBorder="1" applyAlignment="1">
      <alignment horizontal="left" vertical="center" indent="2"/>
    </xf>
    <xf numFmtId="0" fontId="1" fillId="12" borderId="25" xfId="0" applyFont="1" applyFill="1" applyBorder="1" applyAlignment="1">
      <alignment horizontal="left" vertical="center" indent="2"/>
    </xf>
    <xf numFmtId="0" fontId="1" fillId="7" borderId="26" xfId="0" applyFont="1" applyFill="1" applyBorder="1" applyAlignment="1">
      <alignment horizontal="left" vertical="center" indent="2"/>
    </xf>
    <xf numFmtId="0" fontId="1" fillId="12" borderId="23" xfId="0" applyFont="1" applyFill="1" applyBorder="1" applyAlignment="1">
      <alignment horizontal="left" vertical="center" indent="2"/>
    </xf>
    <xf numFmtId="0" fontId="1" fillId="6" borderId="23" xfId="0" applyFont="1" applyFill="1" applyBorder="1" applyAlignment="1">
      <alignment horizontal="left" vertical="center" indent="2"/>
    </xf>
    <xf numFmtId="0" fontId="1" fillId="6" borderId="25" xfId="0" applyFont="1" applyFill="1" applyBorder="1" applyAlignment="1">
      <alignment horizontal="left" vertical="center" indent="2"/>
    </xf>
    <xf numFmtId="0" fontId="31" fillId="5" borderId="26" xfId="0" applyFont="1" applyFill="1" applyBorder="1" applyAlignment="1">
      <alignment horizontal="left" vertical="center" indent="2"/>
    </xf>
    <xf numFmtId="170" fontId="25" fillId="12" borderId="24" xfId="0" applyNumberFormat="1" applyFont="1" applyFill="1" applyBorder="1" applyAlignment="1">
      <alignment horizontal="right" vertical="center"/>
    </xf>
    <xf numFmtId="169" fontId="26" fillId="6" borderId="6" xfId="0" applyNumberFormat="1" applyFont="1" applyFill="1" applyBorder="1" applyAlignment="1">
      <alignment horizontal="right" vertical="center"/>
    </xf>
    <xf numFmtId="0" fontId="1" fillId="12" borderId="20" xfId="0" applyFont="1" applyFill="1" applyBorder="1" applyAlignment="1">
      <alignment horizontal="left" vertical="center" indent="2"/>
    </xf>
    <xf numFmtId="169" fontId="32" fillId="12" borderId="22" xfId="0" applyNumberFormat="1" applyFont="1" applyFill="1" applyBorder="1" applyAlignment="1">
      <alignment horizontal="right" vertical="center"/>
    </xf>
    <xf numFmtId="0" fontId="1" fillId="0" borderId="35" xfId="0" applyFont="1" applyBorder="1" applyAlignment="1">
      <alignment horizontal="left" vertical="center" indent="2"/>
    </xf>
    <xf numFmtId="170" fontId="25" fillId="0" borderId="12" xfId="0" applyNumberFormat="1" applyFont="1" applyBorder="1" applyAlignment="1">
      <alignment horizontal="right" vertical="center"/>
    </xf>
    <xf numFmtId="170" fontId="25" fillId="0" borderId="36" xfId="0" applyNumberFormat="1" applyFont="1" applyBorder="1" applyAlignment="1">
      <alignment horizontal="right" vertical="center"/>
    </xf>
    <xf numFmtId="0" fontId="31" fillId="15" borderId="26" xfId="0" applyFont="1" applyFill="1" applyBorder="1" applyAlignment="1">
      <alignment horizontal="left" vertical="center" indent="2"/>
    </xf>
    <xf numFmtId="170" fontId="26" fillId="15" borderId="20" xfId="0" applyNumberFormat="1" applyFont="1" applyFill="1" applyBorder="1" applyAlignment="1">
      <alignment horizontal="right" vertical="center"/>
    </xf>
    <xf numFmtId="170" fontId="26" fillId="15" borderId="22" xfId="0" applyNumberFormat="1" applyFont="1" applyFill="1" applyBorder="1" applyAlignment="1">
      <alignment horizontal="right" vertical="center"/>
    </xf>
    <xf numFmtId="0" fontId="44" fillId="0" borderId="0" xfId="0" applyFont="1" applyAlignment="1">
      <alignment horizontal="left" vertical="center"/>
    </xf>
    <xf numFmtId="173" fontId="32" fillId="7" borderId="10" xfId="2" applyFont="1" applyFill="1" applyBorder="1" applyAlignment="1">
      <alignment horizontal="right" vertical="center"/>
    </xf>
    <xf numFmtId="0" fontId="31" fillId="12" borderId="6" xfId="0" applyFont="1" applyFill="1" applyBorder="1" applyAlignment="1">
      <alignment horizontal="left" vertical="center" indent="2"/>
    </xf>
    <xf numFmtId="173" fontId="30" fillId="12" borderId="10" xfId="2" applyFont="1" applyFill="1" applyBorder="1" applyAlignment="1">
      <alignment horizontal="right" vertical="center"/>
    </xf>
    <xf numFmtId="0" fontId="1" fillId="7" borderId="13" xfId="0" applyFont="1" applyFill="1" applyBorder="1" applyAlignment="1">
      <alignment horizontal="left" vertical="center" indent="2"/>
    </xf>
    <xf numFmtId="173" fontId="32" fillId="7" borderId="13" xfId="2" applyFont="1" applyFill="1" applyBorder="1" applyAlignment="1">
      <alignment horizontal="right" vertical="center"/>
    </xf>
    <xf numFmtId="173" fontId="32" fillId="12" borderId="6" xfId="2" applyFont="1" applyFill="1" applyBorder="1" applyAlignment="1">
      <alignment horizontal="right" vertical="center"/>
    </xf>
    <xf numFmtId="173" fontId="32" fillId="7" borderId="6" xfId="2" applyFont="1" applyFill="1" applyBorder="1" applyAlignment="1">
      <alignment horizontal="right" vertical="center"/>
    </xf>
    <xf numFmtId="173" fontId="32" fillId="7" borderId="7" xfId="2" applyFont="1" applyFill="1" applyBorder="1" applyAlignment="1">
      <alignment horizontal="right" vertical="center"/>
    </xf>
    <xf numFmtId="0" fontId="31" fillId="12" borderId="13" xfId="0" applyFont="1" applyFill="1" applyBorder="1" applyAlignment="1">
      <alignment horizontal="left" vertical="center" indent="2"/>
    </xf>
    <xf numFmtId="173" fontId="30" fillId="12" borderId="13" xfId="2" applyFont="1" applyFill="1" applyBorder="1" applyAlignment="1">
      <alignment horizontal="right" vertical="center"/>
    </xf>
    <xf numFmtId="173" fontId="32" fillId="0" borderId="7" xfId="0" applyNumberFormat="1" applyFont="1" applyBorder="1" applyAlignment="1">
      <alignment horizontal="right" vertical="center"/>
    </xf>
    <xf numFmtId="0" fontId="31" fillId="0" borderId="12" xfId="0" applyFont="1" applyBorder="1" applyAlignment="1">
      <alignment horizontal="left" vertical="center" indent="2"/>
    </xf>
    <xf numFmtId="2" fontId="30" fillId="12" borderId="7" xfId="0" applyNumberFormat="1" applyFont="1" applyFill="1" applyBorder="1" applyAlignment="1">
      <alignment horizontal="right" vertical="center"/>
    </xf>
    <xf numFmtId="0" fontId="30" fillId="0" borderId="7" xfId="0" applyFont="1" applyBorder="1" applyAlignment="1">
      <alignment horizontal="right" vertical="center"/>
    </xf>
    <xf numFmtId="0" fontId="11" fillId="4" borderId="34" xfId="0" applyFont="1" applyFill="1" applyBorder="1" applyAlignment="1">
      <alignment horizontal="left" vertical="center" indent="1"/>
    </xf>
    <xf numFmtId="0" fontId="4" fillId="16" borderId="8" xfId="0" applyFont="1" applyFill="1" applyBorder="1" applyAlignment="1">
      <alignment horizontal="left" vertical="center" indent="2"/>
    </xf>
    <xf numFmtId="10" fontId="4" fillId="16" borderId="8" xfId="2" applyNumberFormat="1" applyFont="1" applyFill="1" applyBorder="1" applyAlignment="1">
      <alignment horizontal="right" vertical="center"/>
    </xf>
    <xf numFmtId="173" fontId="30" fillId="12" borderId="6" xfId="2" applyFont="1" applyFill="1" applyBorder="1" applyAlignment="1">
      <alignment horizontal="right" vertical="center"/>
    </xf>
    <xf numFmtId="0" fontId="31" fillId="0" borderId="6" xfId="0" applyFont="1" applyBorder="1" applyAlignment="1">
      <alignment horizontal="left" vertical="center" indent="2"/>
    </xf>
    <xf numFmtId="173" fontId="30" fillId="0" borderId="6" xfId="2" applyFont="1" applyBorder="1" applyAlignment="1">
      <alignment horizontal="right" vertical="center"/>
    </xf>
    <xf numFmtId="0" fontId="1" fillId="15" borderId="12" xfId="0" applyFont="1" applyFill="1" applyBorder="1" applyAlignment="1">
      <alignment horizontal="left" vertical="center" indent="2"/>
    </xf>
    <xf numFmtId="173" fontId="32" fillId="15" borderId="12" xfId="2" applyFont="1" applyFill="1" applyBorder="1" applyAlignment="1">
      <alignment horizontal="right" vertical="center"/>
    </xf>
    <xf numFmtId="173" fontId="32" fillId="15" borderId="20" xfId="2" applyFont="1" applyFill="1" applyBorder="1" applyAlignment="1">
      <alignment horizontal="right" vertical="center"/>
    </xf>
    <xf numFmtId="173" fontId="30" fillId="0" borderId="12" xfId="2" applyFont="1" applyBorder="1" applyAlignment="1">
      <alignment horizontal="right" vertical="center"/>
    </xf>
    <xf numFmtId="173" fontId="30" fillId="0" borderId="20" xfId="2" applyFont="1" applyBorder="1" applyAlignment="1">
      <alignment horizontal="right" vertical="center"/>
    </xf>
    <xf numFmtId="173" fontId="32" fillId="7" borderId="10" xfId="0" applyNumberFormat="1" applyFont="1" applyFill="1" applyBorder="1" applyAlignment="1">
      <alignment horizontal="right" vertical="center"/>
    </xf>
    <xf numFmtId="173" fontId="32" fillId="12" borderId="10" xfId="0" applyNumberFormat="1" applyFont="1" applyFill="1" applyBorder="1" applyAlignment="1">
      <alignment horizontal="right" vertical="center"/>
    </xf>
    <xf numFmtId="0" fontId="30" fillId="12" borderId="10" xfId="0" applyFont="1" applyFill="1" applyBorder="1" applyAlignment="1">
      <alignment horizontal="right" vertical="center"/>
    </xf>
    <xf numFmtId="2" fontId="30" fillId="0" borderId="10" xfId="0" applyNumberFormat="1" applyFont="1" applyBorder="1" applyAlignment="1">
      <alignment horizontal="right" vertical="center"/>
    </xf>
    <xf numFmtId="0" fontId="11" fillId="16" borderId="7" xfId="0" applyFont="1" applyFill="1" applyBorder="1" applyAlignment="1">
      <alignment horizontal="left" vertical="center" indent="2"/>
    </xf>
    <xf numFmtId="10" fontId="11" fillId="16" borderId="7" xfId="2" applyNumberFormat="1" applyFont="1" applyFill="1" applyBorder="1" applyAlignment="1">
      <alignment horizontal="right" vertical="center"/>
    </xf>
    <xf numFmtId="0" fontId="1" fillId="12" borderId="13" xfId="0" applyFont="1" applyFill="1" applyBorder="1" applyAlignment="1">
      <alignment horizontal="left" vertical="center" indent="2"/>
    </xf>
    <xf numFmtId="173" fontId="32" fillId="12" borderId="29" xfId="2" applyFont="1" applyFill="1" applyBorder="1" applyAlignment="1">
      <alignment horizontal="right" vertical="center"/>
    </xf>
    <xf numFmtId="0" fontId="11" fillId="4" borderId="37" xfId="0" applyFont="1" applyFill="1" applyBorder="1" applyAlignment="1">
      <alignment horizontal="left" vertical="center" indent="1"/>
    </xf>
    <xf numFmtId="0" fontId="1" fillId="12" borderId="7" xfId="0" applyFont="1" applyFill="1" applyBorder="1" applyAlignment="1">
      <alignment horizontal="left" vertical="center" indent="2"/>
    </xf>
    <xf numFmtId="170" fontId="15" fillId="6" borderId="7" xfId="0" applyNumberFormat="1" applyFont="1" applyFill="1" applyBorder="1" applyAlignment="1">
      <alignment horizontal="right" vertical="center"/>
    </xf>
    <xf numFmtId="0" fontId="45" fillId="21" borderId="0" xfId="0" applyFont="1" applyFill="1"/>
    <xf numFmtId="0" fontId="1" fillId="6" borderId="8" xfId="0" applyFont="1" applyFill="1" applyBorder="1" applyAlignment="1">
      <alignment horizontal="left" vertical="center" indent="2"/>
    </xf>
    <xf numFmtId="10" fontId="15" fillId="12" borderId="7" xfId="0" applyNumberFormat="1" applyFont="1" applyFill="1" applyBorder="1" applyAlignment="1">
      <alignment horizontal="right" vertical="center"/>
    </xf>
    <xf numFmtId="10" fontId="15" fillId="0" borderId="7" xfId="0" applyNumberFormat="1" applyFont="1" applyBorder="1" applyAlignment="1">
      <alignment horizontal="right" vertical="center"/>
    </xf>
    <xf numFmtId="170" fontId="15" fillId="0" borderId="7" xfId="0" applyNumberFormat="1" applyFont="1" applyBorder="1" applyAlignment="1">
      <alignment horizontal="right" vertical="center"/>
    </xf>
    <xf numFmtId="10" fontId="1" fillId="6" borderId="18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left" vertical="center" indent="1"/>
    </xf>
    <xf numFmtId="170" fontId="1" fillId="6" borderId="8" xfId="0" applyNumberFormat="1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left" vertical="center" indent="1"/>
    </xf>
    <xf numFmtId="0" fontId="31" fillId="0" borderId="25" xfId="0" applyFont="1" applyBorder="1" applyAlignment="1">
      <alignment horizontal="left" vertical="center" indent="2"/>
    </xf>
    <xf numFmtId="170" fontId="31" fillId="0" borderId="7" xfId="0" applyNumberFormat="1" applyFont="1" applyBorder="1" applyAlignment="1">
      <alignment horizontal="right" vertical="center"/>
    </xf>
    <xf numFmtId="0" fontId="5" fillId="0" borderId="29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indent="2"/>
    </xf>
    <xf numFmtId="10" fontId="1" fillId="0" borderId="20" xfId="3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 indent="1"/>
    </xf>
    <xf numFmtId="0" fontId="5" fillId="6" borderId="24" xfId="0" applyFont="1" applyFill="1" applyBorder="1" applyAlignment="1">
      <alignment horizontal="left" vertical="center" indent="1"/>
    </xf>
    <xf numFmtId="0" fontId="1" fillId="0" borderId="25" xfId="0" applyFont="1" applyBorder="1" applyAlignment="1">
      <alignment horizontal="left" vertical="center" indent="2"/>
    </xf>
    <xf numFmtId="170" fontId="1" fillId="0" borderId="8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left" vertical="center" indent="1"/>
    </xf>
    <xf numFmtId="0" fontId="1" fillId="15" borderId="7" xfId="0" applyFont="1" applyFill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31" fillId="19" borderId="7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73" fontId="1" fillId="0" borderId="0" xfId="2" applyFont="1" applyAlignment="1">
      <alignment horizontal="right" vertical="center"/>
    </xf>
    <xf numFmtId="10" fontId="32" fillId="0" borderId="0" xfId="3" applyNumberFormat="1" applyFont="1" applyAlignment="1">
      <alignment horizontal="right" vertical="center"/>
    </xf>
    <xf numFmtId="2" fontId="32" fillId="0" borderId="0" xfId="0" applyNumberFormat="1" applyFont="1" applyAlignment="1">
      <alignment horizontal="right" vertical="center"/>
    </xf>
    <xf numFmtId="10" fontId="32" fillId="0" borderId="0" xfId="0" applyNumberFormat="1" applyFont="1" applyAlignment="1">
      <alignment horizontal="right" vertical="center"/>
    </xf>
    <xf numFmtId="0" fontId="6" fillId="22" borderId="3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left" vertical="center" indent="2"/>
    </xf>
    <xf numFmtId="10" fontId="32" fillId="7" borderId="24" xfId="3" applyNumberFormat="1" applyFont="1" applyFill="1" applyBorder="1" applyAlignment="1">
      <alignment horizontal="right" vertical="center"/>
    </xf>
    <xf numFmtId="2" fontId="32" fillId="7" borderId="10" xfId="0" applyNumberFormat="1" applyFont="1" applyFill="1" applyBorder="1" applyAlignment="1">
      <alignment horizontal="right" vertical="center"/>
    </xf>
    <xf numFmtId="0" fontId="32" fillId="7" borderId="10" xfId="0" applyFont="1" applyFill="1" applyBorder="1" applyAlignment="1">
      <alignment horizontal="right" vertical="center"/>
    </xf>
    <xf numFmtId="10" fontId="32" fillId="12" borderId="10" xfId="3" applyNumberFormat="1" applyFont="1" applyFill="1" applyBorder="1" applyAlignment="1">
      <alignment horizontal="right" vertical="center"/>
    </xf>
    <xf numFmtId="2" fontId="32" fillId="12" borderId="10" xfId="0" applyNumberFormat="1" applyFont="1" applyFill="1" applyBorder="1" applyAlignment="1">
      <alignment horizontal="right" vertical="center"/>
    </xf>
    <xf numFmtId="176" fontId="32" fillId="15" borderId="7" xfId="2" applyNumberFormat="1" applyFont="1" applyFill="1" applyBorder="1" applyAlignment="1">
      <alignment horizontal="right" vertical="center"/>
    </xf>
    <xf numFmtId="176" fontId="32" fillId="0" borderId="7" xfId="2" applyNumberFormat="1" applyFont="1" applyBorder="1" applyAlignment="1">
      <alignment horizontal="right" vertical="center"/>
    </xf>
    <xf numFmtId="176" fontId="30" fillId="19" borderId="7" xfId="2" applyNumberFormat="1" applyFont="1" applyFill="1" applyBorder="1" applyAlignment="1">
      <alignment horizontal="right" vertical="center"/>
    </xf>
    <xf numFmtId="176" fontId="32" fillId="12" borderId="10" xfId="2" applyNumberFormat="1" applyFont="1" applyFill="1" applyBorder="1" applyAlignment="1">
      <alignment horizontal="right" vertical="center"/>
    </xf>
    <xf numFmtId="176" fontId="32" fillId="7" borderId="10" xfId="2" applyNumberFormat="1" applyFont="1" applyFill="1" applyBorder="1" applyAlignment="1">
      <alignment horizontal="right" vertical="center"/>
    </xf>
    <xf numFmtId="176" fontId="32" fillId="12" borderId="22" xfId="2" applyNumberFormat="1" applyFont="1" applyFill="1" applyBorder="1" applyAlignment="1">
      <alignment horizontal="right" vertical="center"/>
    </xf>
    <xf numFmtId="0" fontId="9" fillId="15" borderId="7" xfId="0" applyFont="1" applyFill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6" borderId="6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15" fillId="5" borderId="6" xfId="0" applyFont="1" applyFill="1" applyBorder="1" applyAlignment="1">
      <alignment horizontal="right" vertical="center"/>
    </xf>
    <xf numFmtId="9" fontId="32" fillId="7" borderId="6" xfId="0" applyNumberFormat="1" applyFont="1" applyFill="1" applyBorder="1" applyAlignment="1">
      <alignment horizontal="right" vertical="center"/>
    </xf>
    <xf numFmtId="0" fontId="11" fillId="4" borderId="34" xfId="0" applyFont="1" applyFill="1" applyBorder="1"/>
    <xf numFmtId="0" fontId="6" fillId="2" borderId="39" xfId="0" applyFont="1" applyFill="1" applyBorder="1" applyAlignment="1">
      <alignment horizontal="center" vertical="center" wrapText="1"/>
    </xf>
    <xf numFmtId="169" fontId="32" fillId="7" borderId="12" xfId="0" applyNumberFormat="1" applyFont="1" applyFill="1" applyBorder="1" applyAlignment="1">
      <alignment horizontal="right" vertical="center"/>
    </xf>
    <xf numFmtId="10" fontId="25" fillId="18" borderId="40" xfId="3" applyNumberFormat="1" applyFont="1" applyFill="1" applyBorder="1" applyAlignment="1">
      <alignment horizontal="right" vertical="center"/>
    </xf>
    <xf numFmtId="10" fontId="25" fillId="5" borderId="40" xfId="3" applyNumberFormat="1" applyFont="1" applyFill="1" applyBorder="1" applyAlignment="1">
      <alignment horizontal="right" vertical="center"/>
    </xf>
    <xf numFmtId="10" fontId="25" fillId="7" borderId="41" xfId="3" applyNumberFormat="1" applyFont="1" applyFill="1" applyBorder="1" applyAlignment="1">
      <alignment horizontal="right" vertical="center"/>
    </xf>
    <xf numFmtId="10" fontId="25" fillId="18" borderId="41" xfId="3" applyNumberFormat="1" applyFont="1" applyFill="1" applyBorder="1" applyAlignment="1">
      <alignment horizontal="right" vertical="center"/>
    </xf>
    <xf numFmtId="10" fontId="25" fillId="7" borderId="42" xfId="3" applyNumberFormat="1" applyFont="1" applyFill="1" applyBorder="1" applyAlignment="1">
      <alignment horizontal="right" vertical="center"/>
    </xf>
    <xf numFmtId="169" fontId="30" fillId="18" borderId="12" xfId="0" applyNumberFormat="1" applyFont="1" applyFill="1" applyBorder="1" applyAlignment="1">
      <alignment horizontal="right" vertical="center"/>
    </xf>
    <xf numFmtId="176" fontId="32" fillId="7" borderId="6" xfId="2" applyNumberFormat="1" applyFont="1" applyFill="1" applyBorder="1" applyAlignment="1">
      <alignment horizontal="right" vertical="center"/>
    </xf>
    <xf numFmtId="176" fontId="32" fillId="12" borderId="6" xfId="2" applyNumberFormat="1" applyFont="1" applyFill="1" applyBorder="1" applyAlignment="1">
      <alignment horizontal="right" vertical="center"/>
    </xf>
    <xf numFmtId="176" fontId="32" fillId="0" borderId="6" xfId="2" applyNumberFormat="1" applyFont="1" applyBorder="1" applyAlignment="1">
      <alignment horizontal="right" vertical="center"/>
    </xf>
    <xf numFmtId="10" fontId="32" fillId="0" borderId="6" xfId="0" applyNumberFormat="1" applyFont="1" applyBorder="1" applyAlignment="1">
      <alignment horizontal="right" vertical="center"/>
    </xf>
    <xf numFmtId="2" fontId="32" fillId="0" borderId="6" xfId="0" applyNumberFormat="1" applyFont="1" applyBorder="1" applyAlignment="1">
      <alignment horizontal="right" vertical="center"/>
    </xf>
    <xf numFmtId="0" fontId="32" fillId="0" borderId="6" xfId="0" applyFont="1" applyBorder="1" applyAlignment="1">
      <alignment horizontal="right" vertical="center"/>
    </xf>
    <xf numFmtId="176" fontId="32" fillId="0" borderId="6" xfId="0" applyNumberFormat="1" applyFont="1" applyBorder="1" applyAlignment="1">
      <alignment horizontal="right" vertical="center"/>
    </xf>
    <xf numFmtId="0" fontId="1" fillId="15" borderId="6" xfId="0" applyFont="1" applyFill="1" applyBorder="1" applyAlignment="1">
      <alignment horizontal="left" vertical="center" indent="2"/>
    </xf>
    <xf numFmtId="176" fontId="32" fillId="15" borderId="6" xfId="2" applyNumberFormat="1" applyFont="1" applyFill="1" applyBorder="1" applyAlignment="1">
      <alignment horizontal="right" vertical="center"/>
    </xf>
    <xf numFmtId="10" fontId="32" fillId="15" borderId="6" xfId="0" applyNumberFormat="1" applyFont="1" applyFill="1" applyBorder="1" applyAlignment="1">
      <alignment horizontal="right" vertical="center"/>
    </xf>
    <xf numFmtId="2" fontId="32" fillId="15" borderId="6" xfId="0" applyNumberFormat="1" applyFont="1" applyFill="1" applyBorder="1" applyAlignment="1">
      <alignment horizontal="right" vertical="center"/>
    </xf>
    <xf numFmtId="176" fontId="32" fillId="15" borderId="6" xfId="0" applyNumberFormat="1" applyFont="1" applyFill="1" applyBorder="1" applyAlignment="1">
      <alignment horizontal="right" vertical="center"/>
    </xf>
    <xf numFmtId="0" fontId="6" fillId="2" borderId="38" xfId="0" applyFont="1" applyFill="1" applyBorder="1" applyAlignment="1">
      <alignment horizontal="center" vertical="center" wrapText="1"/>
    </xf>
    <xf numFmtId="10" fontId="25" fillId="0" borderId="31" xfId="3" applyNumberFormat="1" applyFont="1" applyBorder="1" applyAlignment="1">
      <alignment horizontal="right" vertical="center"/>
    </xf>
    <xf numFmtId="10" fontId="25" fillId="0" borderId="16" xfId="0" applyNumberFormat="1" applyFont="1" applyBorder="1" applyAlignment="1">
      <alignment horizontal="right" vertical="center"/>
    </xf>
    <xf numFmtId="10" fontId="25" fillId="0" borderId="45" xfId="0" applyNumberFormat="1" applyFont="1" applyBorder="1" applyAlignment="1">
      <alignment horizontal="right" vertical="center"/>
    </xf>
    <xf numFmtId="10" fontId="25" fillId="0" borderId="9" xfId="0" applyNumberFormat="1" applyFont="1" applyBorder="1" applyAlignment="1">
      <alignment horizontal="right" vertical="center"/>
    </xf>
    <xf numFmtId="10" fontId="26" fillId="19" borderId="9" xfId="0" applyNumberFormat="1" applyFont="1" applyFill="1" applyBorder="1" applyAlignment="1">
      <alignment horizontal="right" vertical="center"/>
    </xf>
    <xf numFmtId="10" fontId="25" fillId="0" borderId="30" xfId="3" applyNumberFormat="1" applyFont="1" applyBorder="1" applyAlignment="1">
      <alignment horizontal="right" vertical="center"/>
    </xf>
    <xf numFmtId="10" fontId="25" fillId="0" borderId="32" xfId="3" applyNumberFormat="1" applyFont="1" applyBorder="1" applyAlignment="1">
      <alignment horizontal="right" vertical="center"/>
    </xf>
    <xf numFmtId="0" fontId="26" fillId="19" borderId="9" xfId="0" applyFont="1" applyFill="1" applyBorder="1" applyAlignment="1">
      <alignment horizontal="right" vertical="center"/>
    </xf>
    <xf numFmtId="176" fontId="25" fillId="0" borderId="9" xfId="2" applyNumberFormat="1" applyFont="1" applyBorder="1" applyAlignment="1">
      <alignment horizontal="right" vertical="center"/>
    </xf>
    <xf numFmtId="176" fontId="26" fillId="19" borderId="9" xfId="2" applyNumberFormat="1" applyFont="1" applyFill="1" applyBorder="1" applyAlignment="1">
      <alignment horizontal="right" vertical="center"/>
    </xf>
    <xf numFmtId="10" fontId="25" fillId="5" borderId="32" xfId="3" applyNumberFormat="1" applyFont="1" applyFill="1" applyBorder="1" applyAlignment="1">
      <alignment horizontal="right" vertical="center"/>
    </xf>
    <xf numFmtId="10" fontId="25" fillId="7" borderId="32" xfId="3" applyNumberFormat="1" applyFont="1" applyFill="1" applyBorder="1" applyAlignment="1">
      <alignment horizontal="right" vertical="center"/>
    </xf>
    <xf numFmtId="170" fontId="32" fillId="7" borderId="16" xfId="0" applyNumberFormat="1" applyFont="1" applyFill="1" applyBorder="1" applyAlignment="1">
      <alignment horizontal="right" vertical="center"/>
    </xf>
    <xf numFmtId="170" fontId="30" fillId="18" borderId="16" xfId="0" applyNumberFormat="1" applyFont="1" applyFill="1" applyBorder="1" applyAlignment="1">
      <alignment horizontal="right" vertical="center"/>
    </xf>
    <xf numFmtId="169" fontId="32" fillId="7" borderId="47" xfId="0" applyNumberFormat="1" applyFont="1" applyFill="1" applyBorder="1" applyAlignment="1">
      <alignment horizontal="right" vertical="center"/>
    </xf>
    <xf numFmtId="10" fontId="25" fillId="18" borderId="32" xfId="3" applyNumberFormat="1" applyFont="1" applyFill="1" applyBorder="1" applyAlignment="1">
      <alignment horizontal="right" vertical="center"/>
    </xf>
    <xf numFmtId="10" fontId="25" fillId="7" borderId="50" xfId="3" applyNumberFormat="1" applyFont="1" applyFill="1" applyBorder="1" applyAlignment="1">
      <alignment horizontal="right" vertical="center"/>
    </xf>
    <xf numFmtId="10" fontId="25" fillId="7" borderId="16" xfId="0" applyNumberFormat="1" applyFont="1" applyFill="1" applyBorder="1" applyAlignment="1">
      <alignment horizontal="right" vertical="center"/>
    </xf>
    <xf numFmtId="10" fontId="25" fillId="5" borderId="30" xfId="3" applyNumberFormat="1" applyFont="1" applyFill="1" applyBorder="1" applyAlignment="1">
      <alignment horizontal="right" vertical="center"/>
    </xf>
    <xf numFmtId="10" fontId="25" fillId="5" borderId="31" xfId="3" applyNumberFormat="1" applyFont="1" applyFill="1" applyBorder="1" applyAlignment="1">
      <alignment horizontal="right" vertical="center"/>
    </xf>
    <xf numFmtId="10" fontId="25" fillId="5" borderId="51" xfId="3" applyNumberFormat="1" applyFont="1" applyFill="1" applyBorder="1" applyAlignment="1">
      <alignment horizontal="right" vertical="center"/>
    </xf>
    <xf numFmtId="170" fontId="32" fillId="7" borderId="45" xfId="0" applyNumberFormat="1" applyFont="1" applyFill="1" applyBorder="1" applyAlignment="1">
      <alignment horizontal="right" vertical="center"/>
    </xf>
    <xf numFmtId="9" fontId="25" fillId="7" borderId="47" xfId="0" applyNumberFormat="1" applyFont="1" applyFill="1" applyBorder="1" applyAlignment="1">
      <alignment horizontal="right" vertical="center"/>
    </xf>
    <xf numFmtId="9" fontId="25" fillId="7" borderId="12" xfId="0" applyNumberFormat="1" applyFont="1" applyFill="1" applyBorder="1" applyAlignment="1">
      <alignment horizontal="right" vertical="center"/>
    </xf>
    <xf numFmtId="9" fontId="26" fillId="18" borderId="12" xfId="0" applyNumberFormat="1" applyFont="1" applyFill="1" applyBorder="1" applyAlignment="1">
      <alignment horizontal="right" vertical="center"/>
    </xf>
    <xf numFmtId="176" fontId="25" fillId="0" borderId="45" xfId="2" applyNumberFormat="1" applyFont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169" fontId="30" fillId="18" borderId="47" xfId="0" applyNumberFormat="1" applyFont="1" applyFill="1" applyBorder="1" applyAlignment="1">
      <alignment horizontal="right" vertical="center"/>
    </xf>
    <xf numFmtId="165" fontId="10" fillId="18" borderId="3" xfId="0" applyNumberFormat="1" applyFont="1" applyFill="1" applyBorder="1" applyAlignment="1">
      <alignment horizontal="right" vertical="center"/>
    </xf>
    <xf numFmtId="165" fontId="10" fillId="23" borderId="3" xfId="0" applyNumberFormat="1" applyFont="1" applyFill="1" applyBorder="1" applyAlignment="1">
      <alignment horizontal="right" vertical="center"/>
    </xf>
    <xf numFmtId="165" fontId="10" fillId="24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39" fillId="17" borderId="7" xfId="0" applyFont="1" applyFill="1" applyBorder="1" applyAlignment="1">
      <alignment horizontal="left" vertical="center" indent="2"/>
    </xf>
    <xf numFmtId="10" fontId="39" fillId="17" borderId="7" xfId="0" applyNumberFormat="1" applyFont="1" applyFill="1" applyBorder="1" applyAlignment="1">
      <alignment horizontal="right" vertical="center"/>
    </xf>
    <xf numFmtId="165" fontId="15" fillId="5" borderId="3" xfId="0" applyNumberFormat="1" applyFont="1" applyFill="1" applyBorder="1" applyAlignment="1">
      <alignment horizontal="right" vertical="center"/>
    </xf>
    <xf numFmtId="9" fontId="15" fillId="7" borderId="3" xfId="0" applyNumberFormat="1" applyFont="1" applyFill="1" applyBorder="1" applyAlignment="1">
      <alignment horizontal="right" vertical="center"/>
    </xf>
    <xf numFmtId="165" fontId="15" fillId="7" borderId="3" xfId="0" applyNumberFormat="1" applyFont="1" applyFill="1" applyBorder="1" applyAlignment="1">
      <alignment horizontal="right" vertical="center"/>
    </xf>
    <xf numFmtId="165" fontId="15" fillId="11" borderId="3" xfId="0" applyNumberFormat="1" applyFont="1" applyFill="1" applyBorder="1" applyAlignment="1">
      <alignment horizontal="right" vertical="center"/>
    </xf>
    <xf numFmtId="165" fontId="15" fillId="6" borderId="3" xfId="0" applyNumberFormat="1" applyFont="1" applyFill="1" applyBorder="1" applyAlignment="1">
      <alignment horizontal="right" vertical="center"/>
    </xf>
    <xf numFmtId="165" fontId="24" fillId="6" borderId="6" xfId="0" applyNumberFormat="1" applyFont="1" applyFill="1" applyBorder="1" applyAlignment="1">
      <alignment horizontal="right" vertical="center"/>
    </xf>
    <xf numFmtId="165" fontId="24" fillId="7" borderId="6" xfId="0" applyNumberFormat="1" applyFont="1" applyFill="1" applyBorder="1" applyAlignment="1">
      <alignment horizontal="right" vertical="center"/>
    </xf>
    <xf numFmtId="165" fontId="39" fillId="14" borderId="6" xfId="0" applyNumberFormat="1" applyFont="1" applyFill="1" applyBorder="1" applyAlignment="1">
      <alignment horizontal="right" vertical="center"/>
    </xf>
    <xf numFmtId="165" fontId="24" fillId="6" borderId="6" xfId="3" applyNumberFormat="1" applyFont="1" applyFill="1" applyBorder="1" applyAlignment="1">
      <alignment horizontal="right" vertical="center"/>
    </xf>
    <xf numFmtId="165" fontId="24" fillId="7" borderId="6" xfId="3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/>
    </xf>
    <xf numFmtId="0" fontId="9" fillId="15" borderId="3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 indent="1"/>
    </xf>
    <xf numFmtId="0" fontId="5" fillId="15" borderId="6" xfId="0" applyFont="1" applyFill="1" applyBorder="1" applyAlignment="1">
      <alignment horizontal="left" vertical="center" indent="1"/>
    </xf>
    <xf numFmtId="0" fontId="36" fillId="7" borderId="12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1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6" fillId="22" borderId="44" xfId="0" applyFont="1" applyFill="1" applyBorder="1" applyAlignment="1">
      <alignment horizontal="center" vertical="center" wrapText="1"/>
    </xf>
    <xf numFmtId="0" fontId="6" fillId="22" borderId="38" xfId="0" applyFont="1" applyFill="1" applyBorder="1" applyAlignment="1">
      <alignment horizontal="center" vertical="center" wrapText="1"/>
    </xf>
    <xf numFmtId="0" fontId="6" fillId="22" borderId="43" xfId="0" applyFont="1" applyFill="1" applyBorder="1" applyAlignment="1">
      <alignment horizontal="center" vertical="center" wrapText="1"/>
    </xf>
    <xf numFmtId="0" fontId="6" fillId="22" borderId="48" xfId="0" applyFont="1" applyFill="1" applyBorder="1" applyAlignment="1">
      <alignment horizontal="center" vertical="center" wrapText="1"/>
    </xf>
    <xf numFmtId="0" fontId="6" fillId="22" borderId="34" xfId="0" applyFont="1" applyFill="1" applyBorder="1" applyAlignment="1">
      <alignment horizontal="center" vertical="center" wrapText="1"/>
    </xf>
    <xf numFmtId="0" fontId="6" fillId="22" borderId="46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6" fillId="22" borderId="49" xfId="0" applyFont="1" applyFill="1" applyBorder="1" applyAlignment="1">
      <alignment horizontal="center" vertical="center" wrapText="1"/>
    </xf>
    <xf numFmtId="0" fontId="6" fillId="22" borderId="15" xfId="0" applyFont="1" applyFill="1" applyBorder="1" applyAlignment="1">
      <alignment horizontal="center" vertical="center" wrapText="1"/>
    </xf>
    <xf numFmtId="0" fontId="6" fillId="22" borderId="39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3" borderId="0" xfId="0" applyFill="1"/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1" fillId="10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indent="1"/>
    </xf>
    <xf numFmtId="0" fontId="19" fillId="8" borderId="5" xfId="0" applyFont="1" applyFill="1" applyBorder="1" applyAlignment="1">
      <alignment horizontal="left" vertical="center" wrapText="1" indent="1"/>
    </xf>
    <xf numFmtId="0" fontId="20" fillId="2" borderId="0" xfId="0" applyFont="1" applyFill="1" applyAlignment="1">
      <alignment horizontal="left" vertical="center" wrapText="1" indent="2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3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b/>
        <i val="0"/>
        <strike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b/>
        <color rgb="FF54823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2E75B6"/>
      <rgbColor rgb="FFBBBBBB"/>
      <rgbColor rgb="FF808080"/>
      <rgbColor rgb="FF9999FF"/>
      <rgbColor rgb="FF7030A0"/>
      <rgbColor rgb="FFFFF8E7"/>
      <rgbColor rgb="FFD6E4F0"/>
      <rgbColor rgb="FF660066"/>
      <rgbColor rgb="FFFF8080"/>
      <rgbColor rgb="FF0070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9D9D9"/>
      <rgbColor rgb="FFA0B4C8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C9A84C"/>
      <rgbColor rgb="FF1F3864"/>
      <rgbColor rgb="FF339966"/>
      <rgbColor rgb="FF003300"/>
      <rgbColor rgb="FF375623"/>
      <rgbColor rgb="FF7F4B00"/>
      <rgbColor rgb="FF993366"/>
      <rgbColor rgb="FF2F5597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  <color rgb="FFE2EFDA"/>
      <color rgb="FFFFF8E7"/>
      <color rgb="FFD6E4F0"/>
      <color rgb="FF7030A0"/>
      <color rgb="FF595959"/>
      <color rgb="FF404040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"/>
  <sheetViews>
    <sheetView showGridLines="0" zoomScaleNormal="100" workbookViewId="0">
      <selection activeCell="A2" sqref="A2"/>
    </sheetView>
  </sheetViews>
  <sheetFormatPr defaultColWidth="8.7265625" defaultRowHeight="14.5" x14ac:dyDescent="0.35"/>
  <cols>
    <col min="1" max="1" width="90.26953125" customWidth="1"/>
  </cols>
  <sheetData>
    <row r="1" spans="1:1" ht="120" customHeight="1" x14ac:dyDescent="0.35">
      <c r="A1" s="77" t="s">
        <v>586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101"/>
  <sheetViews>
    <sheetView showGridLines="0" tabSelected="1" zoomScaleNormal="100" workbookViewId="0">
      <selection activeCell="G70" sqref="G70"/>
    </sheetView>
  </sheetViews>
  <sheetFormatPr defaultColWidth="8.7265625" defaultRowHeight="14.5" x14ac:dyDescent="0.35"/>
  <cols>
    <col min="1" max="1" width="2" customWidth="1"/>
    <col min="2" max="2" width="22" style="139" customWidth="1"/>
    <col min="3" max="3" width="36" customWidth="1"/>
    <col min="4" max="4" width="17.90625" style="78" customWidth="1"/>
    <col min="5" max="5" width="17.90625" customWidth="1"/>
    <col min="6" max="6" width="56.54296875" customWidth="1"/>
    <col min="7" max="7" width="57.453125" style="79" customWidth="1"/>
  </cols>
  <sheetData>
    <row r="1" spans="1:7" ht="27.75" customHeight="1" thickBot="1" x14ac:dyDescent="0.4">
      <c r="A1" s="510" t="s">
        <v>190</v>
      </c>
      <c r="B1" s="510"/>
      <c r="C1" s="510"/>
      <c r="D1" s="510"/>
      <c r="E1" s="510"/>
      <c r="F1" s="510"/>
      <c r="G1" s="510"/>
    </row>
    <row r="2" spans="1:7" x14ac:dyDescent="0.35">
      <c r="A2" s="130"/>
      <c r="B2" s="130"/>
      <c r="C2" s="130"/>
      <c r="D2" s="130"/>
      <c r="E2" s="130"/>
      <c r="F2" s="130"/>
      <c r="G2" s="130"/>
    </row>
    <row r="3" spans="1:7" ht="18" customHeight="1" thickBot="1" x14ac:dyDescent="0.4">
      <c r="A3" s="64"/>
      <c r="B3" s="62" t="s">
        <v>191</v>
      </c>
      <c r="C3" s="80" t="s">
        <v>192</v>
      </c>
      <c r="D3" s="80" t="s">
        <v>5</v>
      </c>
      <c r="E3" s="80" t="s">
        <v>193</v>
      </c>
      <c r="F3" s="80" t="s">
        <v>194</v>
      </c>
      <c r="G3" s="80" t="s">
        <v>195</v>
      </c>
    </row>
    <row r="4" spans="1:7" ht="19.5" customHeight="1" thickBot="1" x14ac:dyDescent="0.4">
      <c r="A4" s="81"/>
      <c r="B4" s="82" t="s">
        <v>196</v>
      </c>
      <c r="C4" s="81"/>
      <c r="D4" s="81"/>
      <c r="E4" s="81"/>
      <c r="F4" s="81"/>
      <c r="G4" s="81"/>
    </row>
    <row r="5" spans="1:7" ht="18" customHeight="1" x14ac:dyDescent="0.35">
      <c r="B5" s="134"/>
      <c r="C5" s="83" t="s">
        <v>7</v>
      </c>
      <c r="D5" s="499" t="s">
        <v>8</v>
      </c>
      <c r="E5" s="251"/>
      <c r="F5" s="498" t="s">
        <v>9</v>
      </c>
      <c r="G5" s="498"/>
    </row>
    <row r="6" spans="1:7" ht="18" customHeight="1" x14ac:dyDescent="0.35">
      <c r="B6" s="135"/>
      <c r="C6" s="87" t="s">
        <v>198</v>
      </c>
      <c r="D6" s="500" t="s">
        <v>11</v>
      </c>
      <c r="E6" s="253"/>
      <c r="F6" s="9" t="s">
        <v>12</v>
      </c>
      <c r="G6" s="9"/>
    </row>
    <row r="7" spans="1:7" ht="18" customHeight="1" x14ac:dyDescent="0.35">
      <c r="B7" s="134"/>
      <c r="C7" s="83" t="s">
        <v>24</v>
      </c>
      <c r="D7" s="499" t="s">
        <v>25</v>
      </c>
      <c r="E7" s="251"/>
      <c r="F7" s="12" t="s">
        <v>26</v>
      </c>
      <c r="G7" s="12"/>
    </row>
    <row r="8" spans="1:7" ht="18" customHeight="1" x14ac:dyDescent="0.35">
      <c r="B8" s="135"/>
      <c r="C8" s="87" t="s">
        <v>22</v>
      </c>
      <c r="D8" s="500" t="s">
        <v>23</v>
      </c>
      <c r="E8" s="253"/>
      <c r="F8" s="90" t="s">
        <v>9</v>
      </c>
      <c r="G8" s="90"/>
    </row>
    <row r="9" spans="1:7" x14ac:dyDescent="0.35">
      <c r="B9" s="136"/>
      <c r="C9" s="91"/>
      <c r="D9" s="92"/>
      <c r="E9" s="91"/>
      <c r="F9" s="91"/>
      <c r="G9" s="93"/>
    </row>
    <row r="10" spans="1:7" ht="19.5" customHeight="1" thickBot="1" x14ac:dyDescent="0.4">
      <c r="A10" s="81"/>
      <c r="B10" s="82" t="s">
        <v>200</v>
      </c>
      <c r="C10" s="94"/>
      <c r="D10" s="95"/>
      <c r="E10" s="94"/>
      <c r="F10" s="94"/>
      <c r="G10" s="96"/>
    </row>
    <row r="11" spans="1:7" ht="18" customHeight="1" x14ac:dyDescent="0.35">
      <c r="B11" s="134"/>
      <c r="C11" s="83" t="s">
        <v>201</v>
      </c>
      <c r="D11" s="84">
        <v>100</v>
      </c>
      <c r="E11" s="85" t="s">
        <v>202</v>
      </c>
      <c r="F11" s="86" t="s">
        <v>9</v>
      </c>
      <c r="G11" s="131"/>
    </row>
    <row r="12" spans="1:7" ht="18" customHeight="1" x14ac:dyDescent="0.35">
      <c r="B12" s="135"/>
      <c r="C12" s="87" t="s">
        <v>203</v>
      </c>
      <c r="D12" s="88">
        <v>120</v>
      </c>
      <c r="E12" s="89" t="s">
        <v>204</v>
      </c>
      <c r="F12" s="90" t="s">
        <v>9</v>
      </c>
      <c r="G12" s="132"/>
    </row>
    <row r="13" spans="1:7" ht="18" customHeight="1" x14ac:dyDescent="0.35">
      <c r="B13" s="134"/>
      <c r="C13" s="83" t="s">
        <v>17</v>
      </c>
      <c r="D13" s="494">
        <v>0.27</v>
      </c>
      <c r="E13" s="85" t="s">
        <v>205</v>
      </c>
      <c r="F13" s="86" t="s">
        <v>136</v>
      </c>
      <c r="G13" s="131" t="s">
        <v>206</v>
      </c>
    </row>
    <row r="14" spans="1:7" ht="18" customHeight="1" x14ac:dyDescent="0.35">
      <c r="B14" s="135"/>
      <c r="C14" s="87" t="s">
        <v>20</v>
      </c>
      <c r="D14" s="493">
        <v>0.24</v>
      </c>
      <c r="E14" s="89" t="s">
        <v>205</v>
      </c>
      <c r="F14" s="90" t="s">
        <v>136</v>
      </c>
      <c r="G14" s="132" t="s">
        <v>207</v>
      </c>
    </row>
    <row r="15" spans="1:7" ht="18" customHeight="1" x14ac:dyDescent="0.35">
      <c r="B15" s="134"/>
      <c r="C15" s="83" t="s">
        <v>208</v>
      </c>
      <c r="D15" s="494">
        <v>5.0000000000000001E-3</v>
      </c>
      <c r="E15" s="85" t="s">
        <v>209</v>
      </c>
      <c r="F15" s="86" t="s">
        <v>139</v>
      </c>
      <c r="G15" s="131"/>
    </row>
    <row r="16" spans="1:7" ht="18" customHeight="1" x14ac:dyDescent="0.35">
      <c r="B16" s="135"/>
      <c r="C16" s="87" t="s">
        <v>210</v>
      </c>
      <c r="D16" s="496">
        <v>1.4999999999999999E-2</v>
      </c>
      <c r="E16" s="89" t="s">
        <v>209</v>
      </c>
      <c r="F16" s="502" t="s">
        <v>595</v>
      </c>
      <c r="G16" s="132" t="s">
        <v>594</v>
      </c>
    </row>
    <row r="17" spans="1:7" ht="18" customHeight="1" x14ac:dyDescent="0.35">
      <c r="B17" s="134"/>
      <c r="C17" s="83" t="s">
        <v>211</v>
      </c>
      <c r="D17" s="497">
        <v>0.04</v>
      </c>
      <c r="E17" s="85" t="s">
        <v>209</v>
      </c>
      <c r="F17" s="501" t="s">
        <v>29</v>
      </c>
      <c r="G17" s="131" t="s">
        <v>593</v>
      </c>
    </row>
    <row r="18" spans="1:7" ht="18" customHeight="1" x14ac:dyDescent="0.35">
      <c r="B18" s="135"/>
      <c r="C18" s="87" t="s">
        <v>212</v>
      </c>
      <c r="D18" s="88">
        <f>365*24</f>
        <v>8760</v>
      </c>
      <c r="E18" s="89" t="s">
        <v>213</v>
      </c>
      <c r="F18" s="90" t="s">
        <v>197</v>
      </c>
      <c r="G18" s="132"/>
    </row>
    <row r="19" spans="1:7" x14ac:dyDescent="0.35">
      <c r="B19" s="136"/>
      <c r="C19" s="91"/>
      <c r="D19" s="92"/>
      <c r="E19" s="91"/>
      <c r="F19" s="91"/>
      <c r="G19" s="93"/>
    </row>
    <row r="20" spans="1:7" x14ac:dyDescent="0.35">
      <c r="B20" s="136"/>
      <c r="C20" s="91"/>
      <c r="D20" s="92"/>
      <c r="E20" s="91"/>
      <c r="F20" s="91"/>
      <c r="G20" s="93"/>
    </row>
    <row r="21" spans="1:7" ht="19.5" customHeight="1" thickBot="1" x14ac:dyDescent="0.4">
      <c r="A21" s="81"/>
      <c r="B21" s="82" t="s">
        <v>214</v>
      </c>
      <c r="C21" s="94"/>
      <c r="D21" s="95"/>
      <c r="E21" s="94"/>
      <c r="F21" s="94"/>
      <c r="G21" s="96"/>
    </row>
    <row r="22" spans="1:7" ht="18" customHeight="1" x14ac:dyDescent="0.35">
      <c r="B22" s="135"/>
      <c r="C22" s="87" t="s">
        <v>215</v>
      </c>
      <c r="D22" s="88">
        <v>50</v>
      </c>
      <c r="E22" s="89" t="s">
        <v>216</v>
      </c>
      <c r="F22" s="90" t="s">
        <v>9</v>
      </c>
      <c r="G22" s="132"/>
    </row>
    <row r="23" spans="1:7" ht="18" customHeight="1" x14ac:dyDescent="0.35">
      <c r="B23" s="134"/>
      <c r="C23" s="83" t="s">
        <v>217</v>
      </c>
      <c r="D23" s="84">
        <v>200</v>
      </c>
      <c r="E23" s="85" t="s">
        <v>218</v>
      </c>
      <c r="F23" s="86" t="s">
        <v>9</v>
      </c>
      <c r="G23" s="131"/>
    </row>
    <row r="24" spans="1:7" ht="18" customHeight="1" x14ac:dyDescent="0.35">
      <c r="B24" s="135"/>
      <c r="C24" s="87" t="s">
        <v>219</v>
      </c>
      <c r="D24" s="88">
        <v>1.3</v>
      </c>
      <c r="E24" s="89" t="s">
        <v>220</v>
      </c>
      <c r="F24" s="90" t="s">
        <v>142</v>
      </c>
      <c r="G24" s="132"/>
    </row>
    <row r="25" spans="1:7" ht="18" customHeight="1" x14ac:dyDescent="0.35">
      <c r="B25" s="134"/>
      <c r="C25" s="83" t="s">
        <v>221</v>
      </c>
      <c r="D25" s="98">
        <v>0.85</v>
      </c>
      <c r="E25" s="85" t="s">
        <v>209</v>
      </c>
      <c r="F25" s="86" t="s">
        <v>145</v>
      </c>
      <c r="G25" s="131"/>
    </row>
    <row r="26" spans="1:7" ht="18" customHeight="1" x14ac:dyDescent="0.35">
      <c r="B26" s="135"/>
      <c r="C26" s="87" t="s">
        <v>222</v>
      </c>
      <c r="D26" s="493">
        <v>2.5000000000000001E-2</v>
      </c>
      <c r="E26" s="89" t="s">
        <v>209</v>
      </c>
      <c r="F26" s="90" t="s">
        <v>88</v>
      </c>
      <c r="G26" s="132"/>
    </row>
    <row r="27" spans="1:7" ht="18" customHeight="1" x14ac:dyDescent="0.35">
      <c r="B27" s="134"/>
      <c r="C27" s="83" t="s">
        <v>223</v>
      </c>
      <c r="D27" s="84">
        <v>365</v>
      </c>
      <c r="E27" s="85" t="s">
        <v>224</v>
      </c>
      <c r="F27" s="86" t="s">
        <v>197</v>
      </c>
      <c r="G27" s="131"/>
    </row>
    <row r="29" spans="1:7" ht="19.5" customHeight="1" thickBot="1" x14ac:dyDescent="0.4">
      <c r="A29" s="81"/>
      <c r="B29" s="82" t="s">
        <v>225</v>
      </c>
      <c r="C29" s="81"/>
      <c r="D29" s="81"/>
      <c r="E29" s="81"/>
      <c r="F29" s="81"/>
      <c r="G29" s="81"/>
    </row>
    <row r="30" spans="1:7" ht="18" customHeight="1" x14ac:dyDescent="0.35">
      <c r="B30" s="511" t="s">
        <v>226</v>
      </c>
      <c r="C30" s="87" t="s">
        <v>227</v>
      </c>
      <c r="D30" s="99">
        <v>50</v>
      </c>
      <c r="E30" s="89" t="s">
        <v>228</v>
      </c>
      <c r="F30" s="90" t="s">
        <v>29</v>
      </c>
      <c r="G30" s="132"/>
    </row>
    <row r="31" spans="1:7" ht="18" customHeight="1" x14ac:dyDescent="0.35">
      <c r="B31" s="508"/>
      <c r="C31" s="83" t="s">
        <v>156</v>
      </c>
      <c r="D31" s="494">
        <v>0.01</v>
      </c>
      <c r="E31" s="85" t="s">
        <v>209</v>
      </c>
      <c r="F31" s="86" t="s">
        <v>234</v>
      </c>
      <c r="G31" s="131"/>
    </row>
    <row r="32" spans="1:7" ht="18" customHeight="1" x14ac:dyDescent="0.35">
      <c r="B32" s="508"/>
      <c r="C32" s="87" t="s">
        <v>158</v>
      </c>
      <c r="D32" s="88">
        <v>20</v>
      </c>
      <c r="E32" s="89" t="s">
        <v>199</v>
      </c>
      <c r="F32" s="90" t="s">
        <v>157</v>
      </c>
      <c r="G32" s="132"/>
    </row>
    <row r="33" spans="2:7" ht="18" customHeight="1" x14ac:dyDescent="0.35">
      <c r="B33" s="509"/>
      <c r="C33" s="83" t="s">
        <v>229</v>
      </c>
      <c r="D33" s="100">
        <v>35</v>
      </c>
      <c r="E33" s="85" t="s">
        <v>228</v>
      </c>
      <c r="F33" s="86" t="s">
        <v>230</v>
      </c>
      <c r="G33" s="131"/>
    </row>
    <row r="35" spans="2:7" ht="18" customHeight="1" x14ac:dyDescent="0.35">
      <c r="B35" s="503" t="s">
        <v>102</v>
      </c>
      <c r="C35" s="83" t="s">
        <v>231</v>
      </c>
      <c r="D35" s="100">
        <v>65</v>
      </c>
      <c r="E35" s="85" t="s">
        <v>228</v>
      </c>
      <c r="F35" s="86" t="s">
        <v>162</v>
      </c>
      <c r="G35" s="131"/>
    </row>
    <row r="36" spans="2:7" ht="18" customHeight="1" x14ac:dyDescent="0.35">
      <c r="B36" s="504"/>
      <c r="C36" s="87" t="s">
        <v>232</v>
      </c>
      <c r="D36" s="493">
        <v>1.4999999999999999E-2</v>
      </c>
      <c r="E36" s="89" t="s">
        <v>233</v>
      </c>
      <c r="F36" s="90" t="s">
        <v>234</v>
      </c>
      <c r="G36" s="132"/>
    </row>
    <row r="37" spans="2:7" ht="18" customHeight="1" x14ac:dyDescent="0.35">
      <c r="B37" s="504"/>
      <c r="C37" s="83" t="s">
        <v>235</v>
      </c>
      <c r="D37" s="100">
        <v>25</v>
      </c>
      <c r="E37" s="85" t="s">
        <v>228</v>
      </c>
      <c r="F37" s="86" t="s">
        <v>164</v>
      </c>
      <c r="G37" s="131"/>
    </row>
    <row r="38" spans="2:7" ht="18" customHeight="1" x14ac:dyDescent="0.35">
      <c r="B38" s="504"/>
      <c r="C38" s="87" t="s">
        <v>236</v>
      </c>
      <c r="D38" s="493">
        <v>0.01</v>
      </c>
      <c r="E38" s="89" t="s">
        <v>233</v>
      </c>
      <c r="F38" s="90" t="s">
        <v>234</v>
      </c>
      <c r="G38" s="132"/>
    </row>
    <row r="39" spans="2:7" ht="18" customHeight="1" x14ac:dyDescent="0.35">
      <c r="B39" s="505"/>
      <c r="C39" s="83" t="s">
        <v>237</v>
      </c>
      <c r="D39" s="494">
        <v>0.7</v>
      </c>
      <c r="E39" s="85" t="s">
        <v>209</v>
      </c>
      <c r="F39" s="86" t="s">
        <v>9</v>
      </c>
      <c r="G39" s="131"/>
    </row>
    <row r="40" spans="2:7" x14ac:dyDescent="0.35">
      <c r="C40" s="101"/>
      <c r="D40" s="102"/>
      <c r="E40" s="91"/>
      <c r="F40" s="91"/>
      <c r="G40" s="133"/>
    </row>
    <row r="41" spans="2:7" ht="18" customHeight="1" x14ac:dyDescent="0.35">
      <c r="B41" s="503" t="s">
        <v>104</v>
      </c>
      <c r="C41" s="83" t="s">
        <v>238</v>
      </c>
      <c r="D41" s="84">
        <v>45</v>
      </c>
      <c r="E41" s="85" t="s">
        <v>216</v>
      </c>
      <c r="F41" s="86" t="s">
        <v>239</v>
      </c>
      <c r="G41" s="131"/>
    </row>
    <row r="42" spans="2:7" ht="18" customHeight="1" x14ac:dyDescent="0.35">
      <c r="B42" s="504"/>
      <c r="C42" s="87" t="s">
        <v>240</v>
      </c>
      <c r="D42" s="99">
        <v>6</v>
      </c>
      <c r="E42" s="89" t="s">
        <v>241</v>
      </c>
      <c r="F42" s="502" t="s">
        <v>166</v>
      </c>
      <c r="G42" s="132"/>
    </row>
    <row r="43" spans="2:7" ht="18" customHeight="1" x14ac:dyDescent="0.35">
      <c r="B43" s="505"/>
      <c r="C43" s="83" t="s">
        <v>242</v>
      </c>
      <c r="D43" s="494">
        <v>0.02</v>
      </c>
      <c r="E43" s="85" t="s">
        <v>233</v>
      </c>
      <c r="F43" s="86" t="s">
        <v>612</v>
      </c>
      <c r="G43" s="131"/>
    </row>
    <row r="44" spans="2:7" x14ac:dyDescent="0.35">
      <c r="C44" s="91"/>
      <c r="D44" s="103"/>
      <c r="E44" s="91"/>
      <c r="F44" s="104"/>
      <c r="G44" s="133"/>
    </row>
    <row r="45" spans="2:7" ht="18" customHeight="1" x14ac:dyDescent="0.35">
      <c r="B45" s="503" t="s">
        <v>106</v>
      </c>
      <c r="C45" s="83" t="s">
        <v>243</v>
      </c>
      <c r="D45" s="100">
        <v>75</v>
      </c>
      <c r="E45" s="85" t="s">
        <v>244</v>
      </c>
      <c r="F45" s="86" t="s">
        <v>170</v>
      </c>
      <c r="G45" s="131"/>
    </row>
    <row r="46" spans="2:7" ht="18" customHeight="1" x14ac:dyDescent="0.35">
      <c r="B46" s="504"/>
      <c r="C46" s="87" t="s">
        <v>245</v>
      </c>
      <c r="D46" s="493">
        <v>1.4999999999999999E-2</v>
      </c>
      <c r="E46" s="89" t="s">
        <v>233</v>
      </c>
      <c r="F46" s="90" t="s">
        <v>234</v>
      </c>
      <c r="G46" s="132"/>
    </row>
    <row r="47" spans="2:7" ht="18" customHeight="1" x14ac:dyDescent="0.35">
      <c r="B47" s="504"/>
      <c r="C47" s="83" t="s">
        <v>246</v>
      </c>
      <c r="D47" s="494">
        <v>0.3</v>
      </c>
      <c r="E47" s="85" t="s">
        <v>209</v>
      </c>
      <c r="F47" s="86" t="s">
        <v>9</v>
      </c>
      <c r="G47" s="131"/>
    </row>
    <row r="48" spans="2:7" ht="18" customHeight="1" x14ac:dyDescent="0.35">
      <c r="B48" s="505"/>
      <c r="C48" s="210" t="s">
        <v>247</v>
      </c>
      <c r="D48" s="495">
        <f>D39+D47</f>
        <v>1</v>
      </c>
      <c r="E48" s="89"/>
      <c r="F48" s="90" t="s">
        <v>197</v>
      </c>
      <c r="G48" s="132"/>
    </row>
    <row r="49" spans="1:7" x14ac:dyDescent="0.35">
      <c r="C49" s="91"/>
      <c r="D49" s="103"/>
      <c r="E49" s="91"/>
      <c r="F49" s="104"/>
    </row>
    <row r="50" spans="1:7" ht="19.5" customHeight="1" thickBot="1" x14ac:dyDescent="0.4">
      <c r="A50" s="81"/>
      <c r="B50" s="82" t="s">
        <v>248</v>
      </c>
      <c r="C50" s="94"/>
      <c r="D50" s="105"/>
      <c r="E50" s="94"/>
      <c r="F50" s="94"/>
      <c r="G50" s="81"/>
    </row>
    <row r="51" spans="1:7" ht="18" customHeight="1" x14ac:dyDescent="0.35">
      <c r="B51" s="506" t="s">
        <v>249</v>
      </c>
      <c r="C51" s="83" t="s">
        <v>45</v>
      </c>
      <c r="D51" s="106">
        <v>0.8</v>
      </c>
      <c r="E51" s="85" t="s">
        <v>250</v>
      </c>
      <c r="F51" s="86" t="s">
        <v>596</v>
      </c>
      <c r="G51" s="131" t="s">
        <v>618</v>
      </c>
    </row>
    <row r="52" spans="1:7" ht="18" customHeight="1" x14ac:dyDescent="0.35">
      <c r="B52" s="504"/>
      <c r="C52" s="87" t="s">
        <v>47</v>
      </c>
      <c r="D52" s="99">
        <v>230</v>
      </c>
      <c r="E52" s="89" t="s">
        <v>251</v>
      </c>
      <c r="F52" s="90" t="s">
        <v>597</v>
      </c>
      <c r="G52" s="132" t="s">
        <v>619</v>
      </c>
    </row>
    <row r="53" spans="1:7" ht="18" customHeight="1" x14ac:dyDescent="0.35">
      <c r="B53" s="504"/>
      <c r="C53" s="83" t="s">
        <v>252</v>
      </c>
      <c r="D53" s="100">
        <v>15</v>
      </c>
      <c r="E53" s="85" t="s">
        <v>253</v>
      </c>
      <c r="F53" s="86" t="s">
        <v>598</v>
      </c>
      <c r="G53" s="131" t="s">
        <v>620</v>
      </c>
    </row>
    <row r="54" spans="1:7" ht="18" customHeight="1" x14ac:dyDescent="0.35">
      <c r="B54" s="504"/>
      <c r="C54" s="87" t="s">
        <v>254</v>
      </c>
      <c r="D54" s="99">
        <v>5</v>
      </c>
      <c r="E54" s="89" t="s">
        <v>253</v>
      </c>
      <c r="F54" s="90" t="s">
        <v>9</v>
      </c>
      <c r="G54" s="132"/>
    </row>
    <row r="55" spans="1:7" ht="18" customHeight="1" x14ac:dyDescent="0.35">
      <c r="B55" s="504"/>
      <c r="C55" s="83" t="s">
        <v>255</v>
      </c>
      <c r="D55" s="494">
        <v>0.05</v>
      </c>
      <c r="E55" s="85" t="s">
        <v>256</v>
      </c>
      <c r="F55" s="86" t="s">
        <v>599</v>
      </c>
      <c r="G55" s="131"/>
    </row>
    <row r="56" spans="1:7" ht="18" customHeight="1" x14ac:dyDescent="0.35">
      <c r="B56" s="505"/>
      <c r="C56" s="87" t="s">
        <v>257</v>
      </c>
      <c r="D56" s="99">
        <v>3</v>
      </c>
      <c r="E56" s="89" t="s">
        <v>253</v>
      </c>
      <c r="F56" s="90" t="s">
        <v>9</v>
      </c>
      <c r="G56" s="132"/>
    </row>
    <row r="57" spans="1:7" x14ac:dyDescent="0.35">
      <c r="C57" s="107"/>
      <c r="D57" s="103"/>
      <c r="E57" s="107"/>
      <c r="G57" s="133"/>
    </row>
    <row r="58" spans="1:7" ht="18" customHeight="1" x14ac:dyDescent="0.35">
      <c r="B58" s="507" t="s">
        <v>258</v>
      </c>
      <c r="C58" s="87" t="s">
        <v>112</v>
      </c>
      <c r="D58" s="99">
        <v>10</v>
      </c>
      <c r="E58" s="89" t="s">
        <v>259</v>
      </c>
      <c r="F58" s="90" t="s">
        <v>596</v>
      </c>
      <c r="G58" s="132" t="s">
        <v>621</v>
      </c>
    </row>
    <row r="59" spans="1:7" ht="18" customHeight="1" x14ac:dyDescent="0.35">
      <c r="B59" s="508"/>
      <c r="C59" s="83" t="s">
        <v>113</v>
      </c>
      <c r="D59" s="100">
        <v>8</v>
      </c>
      <c r="E59" s="85" t="s">
        <v>260</v>
      </c>
      <c r="F59" s="86" t="s">
        <v>597</v>
      </c>
      <c r="G59" s="131"/>
    </row>
    <row r="60" spans="1:7" ht="18" customHeight="1" x14ac:dyDescent="0.35">
      <c r="B60" s="508"/>
      <c r="C60" s="87" t="s">
        <v>261</v>
      </c>
      <c r="D60" s="99">
        <v>500</v>
      </c>
      <c r="E60" s="89" t="s">
        <v>262</v>
      </c>
      <c r="F60" s="90" t="s">
        <v>600</v>
      </c>
      <c r="G60" s="132"/>
    </row>
    <row r="61" spans="1:7" ht="18" customHeight="1" x14ac:dyDescent="0.35">
      <c r="B61" s="508"/>
      <c r="C61" s="83" t="s">
        <v>263</v>
      </c>
      <c r="D61" s="84">
        <v>600</v>
      </c>
      <c r="E61" s="85" t="s">
        <v>264</v>
      </c>
      <c r="F61" s="86" t="s">
        <v>9</v>
      </c>
      <c r="G61" s="131"/>
    </row>
    <row r="62" spans="1:7" ht="18" customHeight="1" x14ac:dyDescent="0.35">
      <c r="B62" s="508"/>
      <c r="C62" s="87" t="s">
        <v>265</v>
      </c>
      <c r="D62" s="97">
        <v>2.5000000000000001E-3</v>
      </c>
      <c r="E62" s="89" t="s">
        <v>266</v>
      </c>
      <c r="F62" s="90" t="s">
        <v>601</v>
      </c>
      <c r="G62" s="132"/>
    </row>
    <row r="63" spans="1:7" ht="18" customHeight="1" x14ac:dyDescent="0.35">
      <c r="B63" s="508"/>
      <c r="C63" s="83" t="s">
        <v>116</v>
      </c>
      <c r="D63" s="100">
        <v>150</v>
      </c>
      <c r="E63" s="85" t="s">
        <v>267</v>
      </c>
      <c r="F63" s="86" t="s">
        <v>9</v>
      </c>
      <c r="G63" s="131"/>
    </row>
    <row r="64" spans="1:7" ht="18" customHeight="1" x14ac:dyDescent="0.35">
      <c r="B64" s="508"/>
      <c r="C64" s="87" t="s">
        <v>117</v>
      </c>
      <c r="D64" s="99">
        <v>1</v>
      </c>
      <c r="E64" s="89" t="s">
        <v>268</v>
      </c>
      <c r="F64" s="90" t="s">
        <v>602</v>
      </c>
      <c r="G64" s="132"/>
    </row>
    <row r="65" spans="1:7" ht="18" customHeight="1" x14ac:dyDescent="0.35">
      <c r="B65" s="509"/>
      <c r="C65" s="83" t="s">
        <v>269</v>
      </c>
      <c r="D65" s="494">
        <v>0.02</v>
      </c>
      <c r="E65" s="85" t="s">
        <v>233</v>
      </c>
      <c r="F65" s="86" t="s">
        <v>612</v>
      </c>
      <c r="G65" s="131"/>
    </row>
    <row r="66" spans="1:7" x14ac:dyDescent="0.35">
      <c r="C66" s="107"/>
      <c r="D66" s="103"/>
      <c r="E66" s="107"/>
    </row>
    <row r="68" spans="1:7" ht="19.5" customHeight="1" thickBot="1" x14ac:dyDescent="0.4">
      <c r="A68" s="81"/>
      <c r="B68" s="82" t="s">
        <v>270</v>
      </c>
      <c r="C68" s="81"/>
      <c r="D68" s="81"/>
      <c r="E68" s="81"/>
      <c r="F68" s="81"/>
      <c r="G68" s="81"/>
    </row>
    <row r="69" spans="1:7" ht="18" customHeight="1" x14ac:dyDescent="0.35">
      <c r="B69" s="138"/>
      <c r="C69" s="83" t="s">
        <v>271</v>
      </c>
      <c r="D69" s="84">
        <v>1.3</v>
      </c>
      <c r="E69" s="85" t="s">
        <v>272</v>
      </c>
      <c r="F69" s="86" t="s">
        <v>604</v>
      </c>
      <c r="G69" s="131"/>
    </row>
    <row r="70" spans="1:7" ht="18" customHeight="1" x14ac:dyDescent="0.35">
      <c r="B70" s="137"/>
      <c r="C70" s="87" t="s">
        <v>179</v>
      </c>
      <c r="D70" s="496">
        <v>7.0000000000000007E-2</v>
      </c>
      <c r="E70" s="89" t="s">
        <v>209</v>
      </c>
      <c r="F70" s="90" t="s">
        <v>185</v>
      </c>
      <c r="G70" s="132" t="s">
        <v>622</v>
      </c>
    </row>
    <row r="71" spans="1:7" ht="18" customHeight="1" x14ac:dyDescent="0.35">
      <c r="B71" s="138"/>
      <c r="C71" s="83" t="s">
        <v>181</v>
      </c>
      <c r="D71" s="84">
        <v>18</v>
      </c>
      <c r="E71" s="85" t="s">
        <v>199</v>
      </c>
      <c r="F71" s="86" t="s">
        <v>605</v>
      </c>
      <c r="G71" s="131"/>
    </row>
    <row r="72" spans="1:7" ht="18" customHeight="1" x14ac:dyDescent="0.35">
      <c r="B72" s="137"/>
      <c r="C72" s="87" t="s">
        <v>273</v>
      </c>
      <c r="D72" s="493">
        <v>0.6</v>
      </c>
      <c r="E72" s="89" t="s">
        <v>209</v>
      </c>
      <c r="F72" s="90" t="s">
        <v>606</v>
      </c>
      <c r="G72" s="132"/>
    </row>
    <row r="73" spans="1:7" ht="18" customHeight="1" x14ac:dyDescent="0.35">
      <c r="B73" s="138"/>
      <c r="C73" s="83" t="s">
        <v>274</v>
      </c>
      <c r="D73" s="494">
        <v>0.65</v>
      </c>
      <c r="E73" s="85" t="s">
        <v>209</v>
      </c>
      <c r="F73" s="86" t="s">
        <v>275</v>
      </c>
      <c r="G73" s="131"/>
    </row>
    <row r="74" spans="1:7" x14ac:dyDescent="0.35">
      <c r="C74" s="107"/>
      <c r="D74" s="108"/>
      <c r="E74" s="107"/>
    </row>
    <row r="75" spans="1:7" x14ac:dyDescent="0.35">
      <c r="C75" s="107"/>
      <c r="D75" s="103"/>
      <c r="E75" s="107"/>
    </row>
    <row r="76" spans="1:7" ht="19.5" customHeight="1" thickBot="1" x14ac:dyDescent="0.4">
      <c r="A76" s="81"/>
      <c r="B76" s="82" t="s">
        <v>276</v>
      </c>
      <c r="C76" s="81"/>
      <c r="D76" s="105"/>
      <c r="E76" s="81"/>
      <c r="F76" s="81"/>
      <c r="G76" s="81"/>
    </row>
    <row r="77" spans="1:7" ht="18" customHeight="1" x14ac:dyDescent="0.35">
      <c r="B77" s="140"/>
      <c r="C77" s="83" t="s">
        <v>277</v>
      </c>
      <c r="D77" s="84" t="s">
        <v>278</v>
      </c>
      <c r="E77" s="85" t="s">
        <v>603</v>
      </c>
      <c r="F77" s="86" t="s">
        <v>607</v>
      </c>
      <c r="G77" s="131" t="s">
        <v>279</v>
      </c>
    </row>
    <row r="78" spans="1:7" ht="18" customHeight="1" x14ac:dyDescent="0.35">
      <c r="B78" s="141"/>
      <c r="C78" s="87" t="s">
        <v>280</v>
      </c>
      <c r="D78" s="88" t="str">
        <f>Tax!C54</f>
        <v>ITC</v>
      </c>
      <c r="E78" s="89"/>
      <c r="F78" s="90" t="s">
        <v>608</v>
      </c>
      <c r="G78" s="132"/>
    </row>
    <row r="79" spans="1:7" ht="18" customHeight="1" x14ac:dyDescent="0.35">
      <c r="B79" s="140"/>
      <c r="C79" s="83" t="s">
        <v>281</v>
      </c>
      <c r="D79" s="84" t="s">
        <v>282</v>
      </c>
      <c r="E79" s="85"/>
      <c r="F79" s="86" t="s">
        <v>283</v>
      </c>
      <c r="G79" s="131" t="s">
        <v>623</v>
      </c>
    </row>
    <row r="80" spans="1:7" ht="18" customHeight="1" x14ac:dyDescent="0.35">
      <c r="B80" s="141"/>
      <c r="C80" s="87" t="s">
        <v>284</v>
      </c>
      <c r="D80" s="109">
        <f>0.006*1000</f>
        <v>6</v>
      </c>
      <c r="E80" s="89" t="s">
        <v>228</v>
      </c>
      <c r="F80" s="90" t="s">
        <v>609</v>
      </c>
      <c r="G80" s="132"/>
    </row>
    <row r="81" spans="2:7" ht="18" customHeight="1" x14ac:dyDescent="0.35">
      <c r="B81" s="138"/>
      <c r="C81" s="83" t="s">
        <v>285</v>
      </c>
      <c r="D81" s="106">
        <v>30</v>
      </c>
      <c r="E81" s="85" t="s">
        <v>228</v>
      </c>
      <c r="F81" s="86" t="s">
        <v>610</v>
      </c>
      <c r="G81" s="131"/>
    </row>
    <row r="82" spans="2:7" ht="18" customHeight="1" x14ac:dyDescent="0.35">
      <c r="B82" s="137"/>
      <c r="C82" s="87" t="s">
        <v>286</v>
      </c>
      <c r="D82" s="109">
        <f>IF(D77="YES",D81,D80)</f>
        <v>30</v>
      </c>
      <c r="E82" s="89" t="s">
        <v>228</v>
      </c>
      <c r="F82" s="90" t="s">
        <v>611</v>
      </c>
      <c r="G82" s="132"/>
    </row>
    <row r="83" spans="2:7" ht="18" customHeight="1" x14ac:dyDescent="0.35">
      <c r="B83" s="138"/>
      <c r="C83" s="83" t="s">
        <v>287</v>
      </c>
      <c r="D83" s="106">
        <v>0.92500000000000004</v>
      </c>
      <c r="E83" s="85" t="s">
        <v>288</v>
      </c>
      <c r="F83" s="86" t="s">
        <v>38</v>
      </c>
      <c r="G83" s="131"/>
    </row>
    <row r="84" spans="2:7" ht="18" customHeight="1" x14ac:dyDescent="0.35">
      <c r="B84" s="137"/>
      <c r="C84" s="87" t="s">
        <v>289</v>
      </c>
      <c r="D84" s="493">
        <v>0.02</v>
      </c>
      <c r="E84" s="89" t="s">
        <v>209</v>
      </c>
      <c r="F84" s="90" t="s">
        <v>612</v>
      </c>
      <c r="G84" s="132"/>
    </row>
    <row r="85" spans="2:7" ht="18" customHeight="1" x14ac:dyDescent="0.35">
      <c r="B85" s="138"/>
      <c r="C85" s="83" t="s">
        <v>290</v>
      </c>
      <c r="D85" s="494">
        <v>0.06</v>
      </c>
      <c r="E85" s="85" t="s">
        <v>209</v>
      </c>
      <c r="F85" s="86" t="s">
        <v>613</v>
      </c>
      <c r="G85" s="131"/>
    </row>
    <row r="86" spans="2:7" ht="18" customHeight="1" x14ac:dyDescent="0.35">
      <c r="B86" s="137"/>
      <c r="C86" s="87" t="s">
        <v>291</v>
      </c>
      <c r="D86" s="493">
        <v>0.3</v>
      </c>
      <c r="E86" s="89" t="s">
        <v>209</v>
      </c>
      <c r="F86" s="90" t="s">
        <v>614</v>
      </c>
      <c r="G86" s="132"/>
    </row>
    <row r="87" spans="2:7" ht="18" customHeight="1" x14ac:dyDescent="0.35">
      <c r="B87" s="138"/>
      <c r="C87" s="83" t="s">
        <v>292</v>
      </c>
      <c r="D87" s="494">
        <f>IF(D77="YES",D86,D85)</f>
        <v>0.3</v>
      </c>
      <c r="E87" s="85" t="s">
        <v>209</v>
      </c>
      <c r="F87" s="86" t="s">
        <v>611</v>
      </c>
      <c r="G87" s="131"/>
    </row>
    <row r="88" spans="2:7" ht="18" customHeight="1" x14ac:dyDescent="0.35">
      <c r="B88" s="137"/>
      <c r="C88" s="87" t="s">
        <v>36</v>
      </c>
      <c r="D88" s="109">
        <v>0.92500000000000004</v>
      </c>
      <c r="E88" s="89" t="s">
        <v>288</v>
      </c>
      <c r="F88" s="90" t="s">
        <v>38</v>
      </c>
      <c r="G88" s="132"/>
    </row>
    <row r="89" spans="2:7" ht="18" customHeight="1" x14ac:dyDescent="0.35">
      <c r="B89" s="138"/>
      <c r="C89" s="83" t="s">
        <v>176</v>
      </c>
      <c r="D89" s="494">
        <v>0.21</v>
      </c>
      <c r="E89" s="85" t="s">
        <v>209</v>
      </c>
      <c r="F89" s="86" t="s">
        <v>177</v>
      </c>
      <c r="G89" s="131"/>
    </row>
    <row r="90" spans="2:7" ht="18" customHeight="1" x14ac:dyDescent="0.35">
      <c r="B90" s="137"/>
      <c r="C90" s="87" t="s">
        <v>174</v>
      </c>
      <c r="D90" s="88">
        <v>5</v>
      </c>
      <c r="E90" s="89" t="s">
        <v>199</v>
      </c>
      <c r="F90" s="90" t="s">
        <v>615</v>
      </c>
      <c r="G90" s="132"/>
    </row>
    <row r="91" spans="2:7" ht="18" customHeight="1" x14ac:dyDescent="0.35">
      <c r="B91" s="138"/>
      <c r="C91" s="83" t="s">
        <v>293</v>
      </c>
      <c r="D91" s="494">
        <v>0.2</v>
      </c>
      <c r="E91" s="85" t="s">
        <v>209</v>
      </c>
      <c r="F91" s="86" t="s">
        <v>616</v>
      </c>
      <c r="G91" s="131"/>
    </row>
    <row r="92" spans="2:7" ht="18" customHeight="1" x14ac:dyDescent="0.35">
      <c r="B92" s="137"/>
      <c r="C92" s="87" t="s">
        <v>294</v>
      </c>
      <c r="D92" s="493">
        <v>0.32</v>
      </c>
      <c r="E92" s="89" t="s">
        <v>209</v>
      </c>
      <c r="F92" s="90" t="s">
        <v>616</v>
      </c>
      <c r="G92" s="132"/>
    </row>
    <row r="93" spans="2:7" ht="18" customHeight="1" x14ac:dyDescent="0.35">
      <c r="B93" s="138"/>
      <c r="C93" s="83" t="s">
        <v>295</v>
      </c>
      <c r="D93" s="494">
        <v>0.192</v>
      </c>
      <c r="E93" s="85" t="s">
        <v>209</v>
      </c>
      <c r="F93" s="86" t="s">
        <v>616</v>
      </c>
      <c r="G93" s="131"/>
    </row>
    <row r="94" spans="2:7" ht="18" customHeight="1" x14ac:dyDescent="0.35">
      <c r="B94" s="137"/>
      <c r="C94" s="87" t="s">
        <v>296</v>
      </c>
      <c r="D94" s="493">
        <v>0.1152</v>
      </c>
      <c r="E94" s="89" t="s">
        <v>209</v>
      </c>
      <c r="F94" s="90" t="s">
        <v>616</v>
      </c>
      <c r="G94" s="132"/>
    </row>
    <row r="95" spans="2:7" ht="18" customHeight="1" x14ac:dyDescent="0.35">
      <c r="B95" s="138"/>
      <c r="C95" s="83" t="s">
        <v>297</v>
      </c>
      <c r="D95" s="494">
        <v>0.1152</v>
      </c>
      <c r="E95" s="85" t="s">
        <v>209</v>
      </c>
      <c r="F95" s="86" t="s">
        <v>616</v>
      </c>
      <c r="G95" s="131"/>
    </row>
    <row r="96" spans="2:7" ht="18" customHeight="1" x14ac:dyDescent="0.35">
      <c r="B96" s="137"/>
      <c r="C96" s="87" t="s">
        <v>298</v>
      </c>
      <c r="D96" s="493">
        <f>5.67%+0.09%</f>
        <v>5.7599999999999998E-2</v>
      </c>
      <c r="E96" s="89" t="s">
        <v>209</v>
      </c>
      <c r="F96" s="90" t="s">
        <v>616</v>
      </c>
      <c r="G96" s="132"/>
    </row>
    <row r="97" spans="1:7" ht="18" customHeight="1" x14ac:dyDescent="0.35">
      <c r="B97" s="138"/>
      <c r="C97" s="179" t="s">
        <v>299</v>
      </c>
      <c r="D97" s="495">
        <f>SUM(D91:D96)</f>
        <v>0.99999999999999989</v>
      </c>
      <c r="E97" s="85" t="s">
        <v>209</v>
      </c>
      <c r="F97" s="86" t="s">
        <v>197</v>
      </c>
      <c r="G97" s="131"/>
    </row>
    <row r="99" spans="1:7" ht="19.5" customHeight="1" thickBot="1" x14ac:dyDescent="0.4">
      <c r="A99" s="81"/>
      <c r="B99" s="82" t="s">
        <v>300</v>
      </c>
      <c r="C99" s="81"/>
      <c r="D99" s="105"/>
      <c r="E99" s="81"/>
      <c r="F99" s="81"/>
      <c r="G99" s="81"/>
    </row>
    <row r="100" spans="1:7" ht="18" customHeight="1" x14ac:dyDescent="0.35">
      <c r="B100" s="137"/>
      <c r="C100" s="87" t="s">
        <v>301</v>
      </c>
      <c r="D100" s="493">
        <v>7.0000000000000007E-2</v>
      </c>
      <c r="E100" s="89" t="s">
        <v>209</v>
      </c>
      <c r="F100" s="90" t="s">
        <v>185</v>
      </c>
      <c r="G100" s="132"/>
    </row>
    <row r="101" spans="1:7" ht="18" customHeight="1" x14ac:dyDescent="0.35">
      <c r="B101" s="138"/>
      <c r="C101" s="83" t="s">
        <v>186</v>
      </c>
      <c r="D101" s="494">
        <v>0.12</v>
      </c>
      <c r="E101" s="85" t="s">
        <v>209</v>
      </c>
      <c r="F101" s="86" t="s">
        <v>617</v>
      </c>
      <c r="G101" s="131"/>
    </row>
  </sheetData>
  <mergeCells count="7">
    <mergeCell ref="B41:B43"/>
    <mergeCell ref="B45:B48"/>
    <mergeCell ref="B51:B56"/>
    <mergeCell ref="B58:B65"/>
    <mergeCell ref="A1:G1"/>
    <mergeCell ref="B35:B39"/>
    <mergeCell ref="B30:B33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AE1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defaultColWidth="8.7265625" defaultRowHeight="14.5" x14ac:dyDescent="0.35"/>
  <cols>
    <col min="1" max="1" width="48.81640625" bestFit="1" customWidth="1"/>
    <col min="2" max="31" width="14" bestFit="1" customWidth="1"/>
  </cols>
  <sheetData>
    <row r="1" spans="1:31" ht="27.75" customHeight="1" thickBot="1" x14ac:dyDescent="0.4">
      <c r="A1" s="512" t="s">
        <v>302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</row>
    <row r="2" spans="1:31" ht="16.5" customHeight="1" thickBot="1" x14ac:dyDescent="0.4">
      <c r="A2" s="290" t="s">
        <v>303</v>
      </c>
      <c r="B2" s="290">
        <v>1</v>
      </c>
      <c r="C2" s="290">
        <v>2</v>
      </c>
      <c r="D2" s="290">
        <v>3</v>
      </c>
      <c r="E2" s="290">
        <v>4</v>
      </c>
      <c r="F2" s="290">
        <v>5</v>
      </c>
      <c r="G2" s="290">
        <v>6</v>
      </c>
      <c r="H2" s="290">
        <v>7</v>
      </c>
      <c r="I2" s="290">
        <v>8</v>
      </c>
      <c r="J2" s="290">
        <v>9</v>
      </c>
      <c r="K2" s="290">
        <v>10</v>
      </c>
      <c r="L2" s="290">
        <v>11</v>
      </c>
      <c r="M2" s="290">
        <v>12</v>
      </c>
      <c r="N2" s="290">
        <v>13</v>
      </c>
      <c r="O2" s="290">
        <v>14</v>
      </c>
      <c r="P2" s="290">
        <v>15</v>
      </c>
      <c r="Q2" s="290">
        <v>16</v>
      </c>
      <c r="R2" s="290">
        <v>17</v>
      </c>
      <c r="S2" s="290">
        <v>18</v>
      </c>
      <c r="T2" s="290">
        <v>19</v>
      </c>
      <c r="U2" s="290">
        <v>20</v>
      </c>
      <c r="V2" s="290">
        <v>21</v>
      </c>
      <c r="W2" s="290">
        <v>22</v>
      </c>
      <c r="X2" s="290">
        <v>23</v>
      </c>
      <c r="Y2" s="290">
        <v>24</v>
      </c>
      <c r="Z2" s="290">
        <v>25</v>
      </c>
      <c r="AA2" s="290">
        <v>26</v>
      </c>
      <c r="AB2" s="290">
        <v>27</v>
      </c>
      <c r="AC2" s="290">
        <v>28</v>
      </c>
      <c r="AD2" s="290">
        <v>29</v>
      </c>
      <c r="AE2" s="290">
        <v>30</v>
      </c>
    </row>
    <row r="3" spans="1:31" ht="16.5" customHeight="1" x14ac:dyDescent="0.35">
      <c r="A3" s="251" t="s">
        <v>304</v>
      </c>
      <c r="B3" s="311">
        <f>Inputs!$D$11*Inputs!$D$13*Inputs!$D$18</f>
        <v>236520</v>
      </c>
      <c r="C3" s="252">
        <f>Inputs!$D$11*Inputs!$D$13*Inputs!$D$18</f>
        <v>236520</v>
      </c>
      <c r="D3" s="252">
        <f>Inputs!$D$11*Inputs!$D$13*Inputs!$D$18</f>
        <v>236520</v>
      </c>
      <c r="E3" s="252">
        <f>Inputs!$D$11*Inputs!$D$13*Inputs!$D$18</f>
        <v>236520</v>
      </c>
      <c r="F3" s="252">
        <f>Inputs!$D$11*Inputs!$D$13*Inputs!$D$18</f>
        <v>236520</v>
      </c>
      <c r="G3" s="252">
        <f>Inputs!$D$11*Inputs!$D$13*Inputs!$D$18</f>
        <v>236520</v>
      </c>
      <c r="H3" s="252">
        <f>Inputs!$D$11*Inputs!$D$13*Inputs!$D$18</f>
        <v>236520</v>
      </c>
      <c r="I3" s="252">
        <f>Inputs!$D$11*Inputs!$D$13*Inputs!$D$18</f>
        <v>236520</v>
      </c>
      <c r="J3" s="252">
        <f>Inputs!$D$11*Inputs!$D$13*Inputs!$D$18</f>
        <v>236520</v>
      </c>
      <c r="K3" s="252">
        <f>Inputs!$D$11*Inputs!$D$13*Inputs!$D$18</f>
        <v>236520</v>
      </c>
      <c r="L3" s="252">
        <f>Inputs!$D$11*Inputs!$D$13*Inputs!$D$18</f>
        <v>236520</v>
      </c>
      <c r="M3" s="252">
        <f>Inputs!$D$11*Inputs!$D$13*Inputs!$D$18</f>
        <v>236520</v>
      </c>
      <c r="N3" s="252">
        <f>Inputs!$D$11*Inputs!$D$13*Inputs!$D$18</f>
        <v>236520</v>
      </c>
      <c r="O3" s="252">
        <f>Inputs!$D$11*Inputs!$D$13*Inputs!$D$18</f>
        <v>236520</v>
      </c>
      <c r="P3" s="252">
        <f>Inputs!$D$11*Inputs!$D$13*Inputs!$D$18</f>
        <v>236520</v>
      </c>
      <c r="Q3" s="252">
        <f>Inputs!$D$11*Inputs!$D$13*Inputs!$D$18</f>
        <v>236520</v>
      </c>
      <c r="R3" s="252">
        <f>Inputs!$D$11*Inputs!$D$13*Inputs!$D$18</f>
        <v>236520</v>
      </c>
      <c r="S3" s="252">
        <f>Inputs!$D$11*Inputs!$D$13*Inputs!$D$18</f>
        <v>236520</v>
      </c>
      <c r="T3" s="252">
        <f>Inputs!$D$11*Inputs!$D$13*Inputs!$D$18</f>
        <v>236520</v>
      </c>
      <c r="U3" s="252">
        <f>Inputs!$D$11*Inputs!$D$13*Inputs!$D$18</f>
        <v>236520</v>
      </c>
      <c r="V3" s="252">
        <f>Inputs!$D$11*Inputs!$D$13*Inputs!$D$18</f>
        <v>236520</v>
      </c>
      <c r="W3" s="252">
        <f>Inputs!$D$11*Inputs!$D$13*Inputs!$D$18</f>
        <v>236520</v>
      </c>
      <c r="X3" s="252">
        <f>Inputs!$D$11*Inputs!$D$13*Inputs!$D$18</f>
        <v>236520</v>
      </c>
      <c r="Y3" s="252">
        <f>Inputs!$D$11*Inputs!$D$13*Inputs!$D$18</f>
        <v>236520</v>
      </c>
      <c r="Z3" s="252">
        <f>Inputs!$D$11*Inputs!$D$13*Inputs!$D$18</f>
        <v>236520</v>
      </c>
      <c r="AA3" s="252">
        <f>Inputs!$D$11*Inputs!$D$13*Inputs!$D$18</f>
        <v>236520</v>
      </c>
      <c r="AB3" s="252">
        <f>Inputs!$D$11*Inputs!$D$13*Inputs!$D$18</f>
        <v>236520</v>
      </c>
      <c r="AC3" s="252">
        <f>Inputs!$D$11*Inputs!$D$13*Inputs!$D$18</f>
        <v>236520</v>
      </c>
      <c r="AD3" s="252">
        <f>Inputs!$D$11*Inputs!$D$13*Inputs!$D$18</f>
        <v>236520</v>
      </c>
      <c r="AE3" s="252">
        <f>Inputs!$D$11*Inputs!$D$13*Inputs!$D$18</f>
        <v>236520</v>
      </c>
    </row>
    <row r="4" spans="1:31" ht="16.5" customHeight="1" x14ac:dyDescent="0.35">
      <c r="A4" s="253" t="s">
        <v>305</v>
      </c>
      <c r="B4" s="312">
        <f>(1-Inputs!$D$15)^(B2-1)</f>
        <v>1</v>
      </c>
      <c r="C4" s="254">
        <f>(1-Inputs!$D$15)^(C2-1)</f>
        <v>0.995</v>
      </c>
      <c r="D4" s="254">
        <f>(1-Inputs!$D$15)^(D2-1)</f>
        <v>0.99002500000000004</v>
      </c>
      <c r="E4" s="254">
        <f>(1-Inputs!$D$15)^(E2-1)</f>
        <v>0.98507487500000002</v>
      </c>
      <c r="F4" s="254">
        <f>(1-Inputs!$D$15)^(F2-1)</f>
        <v>0.98014950062500006</v>
      </c>
      <c r="G4" s="254">
        <f>(1-Inputs!$D$15)^(G2-1)</f>
        <v>0.97524875312187509</v>
      </c>
      <c r="H4" s="254">
        <f>(1-Inputs!$D$15)^(H2-1)</f>
        <v>0.97037250935626573</v>
      </c>
      <c r="I4" s="254">
        <f>(1-Inputs!$D$15)^(I2-1)</f>
        <v>0.96552064680948435</v>
      </c>
      <c r="J4" s="254">
        <f>(1-Inputs!$D$15)^(J2-1)</f>
        <v>0.96069304357543694</v>
      </c>
      <c r="K4" s="254">
        <f>(1-Inputs!$D$15)^(K2-1)</f>
        <v>0.95588957835755972</v>
      </c>
      <c r="L4" s="254">
        <f>(1-Inputs!$D$15)^(L2-1)</f>
        <v>0.95111013046577197</v>
      </c>
      <c r="M4" s="254">
        <f>(1-Inputs!$D$15)^(M2-1)</f>
        <v>0.94635457981344306</v>
      </c>
      <c r="N4" s="254">
        <f>(1-Inputs!$D$15)^(N2-1)</f>
        <v>0.94162280691437594</v>
      </c>
      <c r="O4" s="254">
        <f>(1-Inputs!$D$15)^(O2-1)</f>
        <v>0.93691469287980411</v>
      </c>
      <c r="P4" s="254">
        <f>(1-Inputs!$D$15)^(P2-1)</f>
        <v>0.93223011941540512</v>
      </c>
      <c r="Q4" s="254">
        <f>(1-Inputs!$D$15)^(Q2-1)</f>
        <v>0.92756896881832807</v>
      </c>
      <c r="R4" s="254">
        <f>(1-Inputs!$D$15)^(R2-1)</f>
        <v>0.92293112397423638</v>
      </c>
      <c r="S4" s="254">
        <f>(1-Inputs!$D$15)^(S2-1)</f>
        <v>0.9183164683543652</v>
      </c>
      <c r="T4" s="254">
        <f>(1-Inputs!$D$15)^(T2-1)</f>
        <v>0.91372488601259338</v>
      </c>
      <c r="U4" s="254">
        <f>(1-Inputs!$D$15)^(U2-1)</f>
        <v>0.90915626158253038</v>
      </c>
      <c r="V4" s="254">
        <f>(1-Inputs!$D$15)^(V2-1)</f>
        <v>0.90461048027461777</v>
      </c>
      <c r="W4" s="254">
        <f>(1-Inputs!$D$15)^(W2-1)</f>
        <v>0.90008742787324469</v>
      </c>
      <c r="X4" s="254">
        <f>(1-Inputs!$D$15)^(X2-1)</f>
        <v>0.89558699073387849</v>
      </c>
      <c r="Y4" s="254">
        <f>(1-Inputs!$D$15)^(Y2-1)</f>
        <v>0.89110905578020905</v>
      </c>
      <c r="Z4" s="254">
        <f>(1-Inputs!$D$15)^(Z2-1)</f>
        <v>0.88665351050130803</v>
      </c>
      <c r="AA4" s="254">
        <f>(1-Inputs!$D$15)^(AA2-1)</f>
        <v>0.88222024294880153</v>
      </c>
      <c r="AB4" s="254">
        <f>(1-Inputs!$D$15)^(AB2-1)</f>
        <v>0.87780914173405755</v>
      </c>
      <c r="AC4" s="254">
        <f>(1-Inputs!$D$15)^(AC2-1)</f>
        <v>0.87342009602538717</v>
      </c>
      <c r="AD4" s="254">
        <f>(1-Inputs!$D$15)^(AD2-1)</f>
        <v>0.86905299554526039</v>
      </c>
      <c r="AE4" s="254">
        <f>(1-Inputs!$D$15)^(AE2-1)</f>
        <v>0.86470773056753414</v>
      </c>
    </row>
    <row r="5" spans="1:31" ht="16.5" customHeight="1" x14ac:dyDescent="0.35">
      <c r="A5" s="251" t="s">
        <v>306</v>
      </c>
      <c r="B5" s="311">
        <f t="shared" ref="B5:AE5" si="0">B3*B4</f>
        <v>236520</v>
      </c>
      <c r="C5" s="252">
        <f t="shared" si="0"/>
        <v>235337.4</v>
      </c>
      <c r="D5" s="252">
        <f t="shared" si="0"/>
        <v>234160.71300000002</v>
      </c>
      <c r="E5" s="252">
        <f t="shared" si="0"/>
        <v>232989.90943500001</v>
      </c>
      <c r="F5" s="252">
        <f t="shared" si="0"/>
        <v>231824.95988782501</v>
      </c>
      <c r="G5" s="252">
        <f t="shared" si="0"/>
        <v>230665.83508838591</v>
      </c>
      <c r="H5" s="252">
        <f t="shared" si="0"/>
        <v>229512.50591294398</v>
      </c>
      <c r="I5" s="252">
        <f t="shared" si="0"/>
        <v>228364.94338337923</v>
      </c>
      <c r="J5" s="252">
        <f t="shared" si="0"/>
        <v>227223.11866646234</v>
      </c>
      <c r="K5" s="252">
        <f t="shared" si="0"/>
        <v>226087.00307313004</v>
      </c>
      <c r="L5" s="252">
        <f t="shared" si="0"/>
        <v>224956.56805776438</v>
      </c>
      <c r="M5" s="252">
        <f t="shared" si="0"/>
        <v>223831.78521747555</v>
      </c>
      <c r="N5" s="252">
        <f t="shared" si="0"/>
        <v>222712.62629138821</v>
      </c>
      <c r="O5" s="252">
        <f t="shared" si="0"/>
        <v>221599.06315993128</v>
      </c>
      <c r="P5" s="252">
        <f t="shared" si="0"/>
        <v>220491.06784413161</v>
      </c>
      <c r="Q5" s="252">
        <f t="shared" si="0"/>
        <v>219388.61250491094</v>
      </c>
      <c r="R5" s="252">
        <f t="shared" si="0"/>
        <v>218291.6694423864</v>
      </c>
      <c r="S5" s="252">
        <f t="shared" si="0"/>
        <v>217200.21109517445</v>
      </c>
      <c r="T5" s="252">
        <f t="shared" si="0"/>
        <v>216114.21003969858</v>
      </c>
      <c r="U5" s="252">
        <f t="shared" si="0"/>
        <v>215033.63898950009</v>
      </c>
      <c r="V5" s="252">
        <f t="shared" si="0"/>
        <v>213958.47079455259</v>
      </c>
      <c r="W5" s="252">
        <f t="shared" si="0"/>
        <v>212888.67844057982</v>
      </c>
      <c r="X5" s="252">
        <f t="shared" si="0"/>
        <v>211824.23504837693</v>
      </c>
      <c r="Y5" s="252">
        <f t="shared" si="0"/>
        <v>210765.11387313504</v>
      </c>
      <c r="Z5" s="252">
        <f t="shared" si="0"/>
        <v>209711.28830376937</v>
      </c>
      <c r="AA5" s="252">
        <f t="shared" si="0"/>
        <v>208662.73186225054</v>
      </c>
      <c r="AB5" s="252">
        <f t="shared" si="0"/>
        <v>207619.4182029393</v>
      </c>
      <c r="AC5" s="252">
        <f t="shared" si="0"/>
        <v>206581.32111192457</v>
      </c>
      <c r="AD5" s="252">
        <f t="shared" si="0"/>
        <v>205548.41450636499</v>
      </c>
      <c r="AE5" s="252">
        <f t="shared" si="0"/>
        <v>204520.67243383318</v>
      </c>
    </row>
    <row r="6" spans="1:31" ht="16.5" customHeight="1" x14ac:dyDescent="0.35">
      <c r="A6" s="253" t="s">
        <v>307</v>
      </c>
      <c r="B6" s="312">
        <f>B5*Inputs!$D$16</f>
        <v>3547.7999999999997</v>
      </c>
      <c r="C6" s="254">
        <f>C5*Inputs!$D$16</f>
        <v>3530.0609999999997</v>
      </c>
      <c r="D6" s="254">
        <f>D5*Inputs!$D$16</f>
        <v>3512.410695</v>
      </c>
      <c r="E6" s="254">
        <f>E5*Inputs!$D$16</f>
        <v>3494.8486415249999</v>
      </c>
      <c r="F6" s="254">
        <f>F5*Inputs!$D$16</f>
        <v>3477.3743983173749</v>
      </c>
      <c r="G6" s="254">
        <f>G5*Inputs!$D$16</f>
        <v>3459.9875263257886</v>
      </c>
      <c r="H6" s="254">
        <f>H5*Inputs!$D$16</f>
        <v>3442.6875886941593</v>
      </c>
      <c r="I6" s="254">
        <f>I5*Inputs!$D$16</f>
        <v>3425.4741507506883</v>
      </c>
      <c r="J6" s="254">
        <f>J5*Inputs!$D$16</f>
        <v>3408.3467799969349</v>
      </c>
      <c r="K6" s="254">
        <f>K5*Inputs!$D$16</f>
        <v>3391.3050460969503</v>
      </c>
      <c r="L6" s="254">
        <f>L5*Inputs!$D$16</f>
        <v>3374.3485208664656</v>
      </c>
      <c r="M6" s="254">
        <f>M5*Inputs!$D$16</f>
        <v>3357.4767782621334</v>
      </c>
      <c r="N6" s="254">
        <f>N5*Inputs!$D$16</f>
        <v>3340.6893943708228</v>
      </c>
      <c r="O6" s="254">
        <f>O5*Inputs!$D$16</f>
        <v>3323.9859473989691</v>
      </c>
      <c r="P6" s="254">
        <f>P5*Inputs!$D$16</f>
        <v>3307.3660176619742</v>
      </c>
      <c r="Q6" s="254">
        <f>Q5*Inputs!$D$16</f>
        <v>3290.8291875736641</v>
      </c>
      <c r="R6" s="254">
        <f>R5*Inputs!$D$16</f>
        <v>3274.3750416357957</v>
      </c>
      <c r="S6" s="254">
        <f>S5*Inputs!$D$16</f>
        <v>3258.0031664276166</v>
      </c>
      <c r="T6" s="254">
        <f>T5*Inputs!$D$16</f>
        <v>3241.7131505954785</v>
      </c>
      <c r="U6" s="254">
        <f>U5*Inputs!$D$16</f>
        <v>3225.5045848425011</v>
      </c>
      <c r="V6" s="254">
        <f>V5*Inputs!$D$16</f>
        <v>3209.3770619182887</v>
      </c>
      <c r="W6" s="254">
        <f>W5*Inputs!$D$16</f>
        <v>3193.3301766086975</v>
      </c>
      <c r="X6" s="254">
        <f>X5*Inputs!$D$16</f>
        <v>3177.3635257256537</v>
      </c>
      <c r="Y6" s="254">
        <f>Y5*Inputs!$D$16</f>
        <v>3161.4767080970255</v>
      </c>
      <c r="Z6" s="254">
        <f>Z5*Inputs!$D$16</f>
        <v>3145.6693245565402</v>
      </c>
      <c r="AA6" s="254">
        <f>AA5*Inputs!$D$16</f>
        <v>3129.9409779337579</v>
      </c>
      <c r="AB6" s="254">
        <f>AB5*Inputs!$D$16</f>
        <v>3114.2912730440894</v>
      </c>
      <c r="AC6" s="254">
        <f>AC5*Inputs!$D$16</f>
        <v>3098.7198166788685</v>
      </c>
      <c r="AD6" s="254">
        <f>AD5*Inputs!$D$16</f>
        <v>3083.2262175954747</v>
      </c>
      <c r="AE6" s="254">
        <f>AE5*Inputs!$D$16</f>
        <v>3067.8100865074975</v>
      </c>
    </row>
    <row r="7" spans="1:31" ht="16.5" customHeight="1" x14ac:dyDescent="0.35">
      <c r="A7" s="251" t="s">
        <v>308</v>
      </c>
      <c r="B7" s="311">
        <f t="shared" ref="B7:AE7" si="1">B5-B6</f>
        <v>232972.2</v>
      </c>
      <c r="C7" s="252">
        <f t="shared" si="1"/>
        <v>231807.33900000001</v>
      </c>
      <c r="D7" s="252">
        <f t="shared" si="1"/>
        <v>230648.30230500002</v>
      </c>
      <c r="E7" s="252">
        <f t="shared" si="1"/>
        <v>229495.06079347502</v>
      </c>
      <c r="F7" s="252">
        <f t="shared" si="1"/>
        <v>228347.58548950765</v>
      </c>
      <c r="G7" s="252">
        <f t="shared" si="1"/>
        <v>227205.84756206011</v>
      </c>
      <c r="H7" s="252">
        <f t="shared" si="1"/>
        <v>226069.81832424982</v>
      </c>
      <c r="I7" s="252">
        <f t="shared" si="1"/>
        <v>224939.46923262853</v>
      </c>
      <c r="J7" s="252">
        <f t="shared" si="1"/>
        <v>223814.7718864654</v>
      </c>
      <c r="K7" s="252">
        <f t="shared" si="1"/>
        <v>222695.6980270331</v>
      </c>
      <c r="L7" s="252">
        <f t="shared" si="1"/>
        <v>221582.2195368979</v>
      </c>
      <c r="M7" s="252">
        <f t="shared" si="1"/>
        <v>220474.30843921343</v>
      </c>
      <c r="N7" s="252">
        <f t="shared" si="1"/>
        <v>219371.93689701738</v>
      </c>
      <c r="O7" s="252">
        <f t="shared" si="1"/>
        <v>218275.07721253231</v>
      </c>
      <c r="P7" s="252">
        <f t="shared" si="1"/>
        <v>217183.70182646962</v>
      </c>
      <c r="Q7" s="252">
        <f t="shared" si="1"/>
        <v>216097.78331733728</v>
      </c>
      <c r="R7" s="252">
        <f t="shared" si="1"/>
        <v>215017.2944007506</v>
      </c>
      <c r="S7" s="252">
        <f t="shared" si="1"/>
        <v>213942.20792874685</v>
      </c>
      <c r="T7" s="252">
        <f t="shared" si="1"/>
        <v>212872.49688910309</v>
      </c>
      <c r="U7" s="252">
        <f t="shared" si="1"/>
        <v>211808.13440465758</v>
      </c>
      <c r="V7" s="252">
        <f t="shared" si="1"/>
        <v>210749.0937326343</v>
      </c>
      <c r="W7" s="252">
        <f t="shared" si="1"/>
        <v>209695.34826397113</v>
      </c>
      <c r="X7" s="252">
        <f t="shared" si="1"/>
        <v>208646.87152265129</v>
      </c>
      <c r="Y7" s="252">
        <f t="shared" si="1"/>
        <v>207603.637165038</v>
      </c>
      <c r="Z7" s="252">
        <f t="shared" si="1"/>
        <v>206565.61897921283</v>
      </c>
      <c r="AA7" s="252">
        <f t="shared" si="1"/>
        <v>205532.79088431678</v>
      </c>
      <c r="AB7" s="252">
        <f t="shared" si="1"/>
        <v>204505.1269298952</v>
      </c>
      <c r="AC7" s="252">
        <f t="shared" si="1"/>
        <v>203482.60129524569</v>
      </c>
      <c r="AD7" s="252">
        <f t="shared" si="1"/>
        <v>202465.18828876951</v>
      </c>
      <c r="AE7" s="252">
        <f t="shared" si="1"/>
        <v>201452.86234732569</v>
      </c>
    </row>
    <row r="8" spans="1:31" ht="16.5" customHeight="1" x14ac:dyDescent="0.35">
      <c r="A8" s="253" t="s">
        <v>309</v>
      </c>
      <c r="B8" s="312">
        <f>B7*Inputs!$D$17</f>
        <v>9318.8880000000008</v>
      </c>
      <c r="C8" s="254">
        <f>C7*Inputs!$D$17</f>
        <v>9272.2935600000001</v>
      </c>
      <c r="D8" s="254">
        <f>D7*Inputs!$D$17</f>
        <v>9225.9320922000006</v>
      </c>
      <c r="E8" s="254">
        <f>E7*Inputs!$D$17</f>
        <v>9179.8024317390009</v>
      </c>
      <c r="F8" s="254">
        <f>F7*Inputs!$D$17</f>
        <v>9133.9034195803069</v>
      </c>
      <c r="G8" s="254">
        <f>G7*Inputs!$D$17</f>
        <v>9088.233902482405</v>
      </c>
      <c r="H8" s="254">
        <f>H7*Inputs!$D$17</f>
        <v>9042.7927329699924</v>
      </c>
      <c r="I8" s="254">
        <f>I7*Inputs!$D$17</f>
        <v>8997.5787693051407</v>
      </c>
      <c r="J8" s="254">
        <f>J7*Inputs!$D$17</f>
        <v>8952.5908754586162</v>
      </c>
      <c r="K8" s="254">
        <f>K7*Inputs!$D$17</f>
        <v>8907.8279210813234</v>
      </c>
      <c r="L8" s="254">
        <f>L7*Inputs!$D$17</f>
        <v>8863.288781475916</v>
      </c>
      <c r="M8" s="254">
        <f>M7*Inputs!$D$17</f>
        <v>8818.9723375685371</v>
      </c>
      <c r="N8" s="254">
        <f>N7*Inputs!$D$17</f>
        <v>8774.8774758806958</v>
      </c>
      <c r="O8" s="254">
        <f>O7*Inputs!$D$17</f>
        <v>8731.003088501293</v>
      </c>
      <c r="P8" s="254">
        <f>P7*Inputs!$D$17</f>
        <v>8687.3480730587853</v>
      </c>
      <c r="Q8" s="254">
        <f>Q7*Inputs!$D$17</f>
        <v>8643.9113326934912</v>
      </c>
      <c r="R8" s="254">
        <f>R7*Inputs!$D$17</f>
        <v>8600.6917760300239</v>
      </c>
      <c r="S8" s="254">
        <f>S7*Inputs!$D$17</f>
        <v>8557.6883171498739</v>
      </c>
      <c r="T8" s="254">
        <f>T7*Inputs!$D$17</f>
        <v>8514.8998755641242</v>
      </c>
      <c r="U8" s="254">
        <f>U7*Inputs!$D$17</f>
        <v>8472.3253761863034</v>
      </c>
      <c r="V8" s="254">
        <f>V7*Inputs!$D$17</f>
        <v>8429.9637493053724</v>
      </c>
      <c r="W8" s="254">
        <f>W7*Inputs!$D$17</f>
        <v>8387.8139305588447</v>
      </c>
      <c r="X8" s="254">
        <f>X7*Inputs!$D$17</f>
        <v>8345.8748609060513</v>
      </c>
      <c r="Y8" s="254">
        <f>Y7*Inputs!$D$17</f>
        <v>8304.145486601521</v>
      </c>
      <c r="Z8" s="254">
        <f>Z7*Inputs!$D$17</f>
        <v>8262.6247591685133</v>
      </c>
      <c r="AA8" s="254">
        <f>AA7*Inputs!$D$17</f>
        <v>8221.3116353726709</v>
      </c>
      <c r="AB8" s="254">
        <f>AB7*Inputs!$D$17</f>
        <v>8180.2050771958084</v>
      </c>
      <c r="AC8" s="254">
        <f>AC7*Inputs!$D$17</f>
        <v>8139.3040518098278</v>
      </c>
      <c r="AD8" s="254">
        <f>AD7*Inputs!$D$17</f>
        <v>8098.6075315507805</v>
      </c>
      <c r="AE8" s="254">
        <f>AE7*Inputs!$D$17</f>
        <v>8058.1144938930274</v>
      </c>
    </row>
    <row r="9" spans="1:31" ht="16.5" customHeight="1" x14ac:dyDescent="0.35">
      <c r="A9" s="260" t="s">
        <v>310</v>
      </c>
      <c r="B9" s="313">
        <f t="shared" ref="B9:AE9" si="2">B7-B8</f>
        <v>223653.31200000001</v>
      </c>
      <c r="C9" s="313">
        <f t="shared" si="2"/>
        <v>222535.04544000002</v>
      </c>
      <c r="D9" s="313">
        <f t="shared" si="2"/>
        <v>221422.37021280001</v>
      </c>
      <c r="E9" s="313">
        <f t="shared" si="2"/>
        <v>220315.25836173602</v>
      </c>
      <c r="F9" s="313">
        <f t="shared" si="2"/>
        <v>219213.68206992734</v>
      </c>
      <c r="G9" s="313">
        <f t="shared" si="2"/>
        <v>218117.61365957771</v>
      </c>
      <c r="H9" s="313">
        <f t="shared" si="2"/>
        <v>217027.02559127982</v>
      </c>
      <c r="I9" s="313">
        <f t="shared" si="2"/>
        <v>215941.89046332339</v>
      </c>
      <c r="J9" s="313">
        <f t="shared" si="2"/>
        <v>214862.18101100679</v>
      </c>
      <c r="K9" s="313">
        <f t="shared" si="2"/>
        <v>213787.87010595176</v>
      </c>
      <c r="L9" s="313">
        <f t="shared" si="2"/>
        <v>212718.93075542198</v>
      </c>
      <c r="M9" s="313">
        <f t="shared" si="2"/>
        <v>211655.33610164491</v>
      </c>
      <c r="N9" s="313">
        <f t="shared" si="2"/>
        <v>210597.05942113668</v>
      </c>
      <c r="O9" s="313">
        <f t="shared" si="2"/>
        <v>209544.07412403103</v>
      </c>
      <c r="P9" s="313">
        <f t="shared" si="2"/>
        <v>208496.35375341083</v>
      </c>
      <c r="Q9" s="313">
        <f t="shared" si="2"/>
        <v>207453.87198464377</v>
      </c>
      <c r="R9" s="313">
        <f t="shared" si="2"/>
        <v>206416.60262472057</v>
      </c>
      <c r="S9" s="313">
        <f t="shared" si="2"/>
        <v>205384.51961159697</v>
      </c>
      <c r="T9" s="313">
        <f t="shared" si="2"/>
        <v>204357.59701353897</v>
      </c>
      <c r="U9" s="313">
        <f t="shared" si="2"/>
        <v>203335.80902847127</v>
      </c>
      <c r="V9" s="313">
        <f t="shared" si="2"/>
        <v>202319.12998332892</v>
      </c>
      <c r="W9" s="313">
        <f t="shared" si="2"/>
        <v>201307.53433341227</v>
      </c>
      <c r="X9" s="313">
        <f t="shared" si="2"/>
        <v>200300.99666174524</v>
      </c>
      <c r="Y9" s="313">
        <f t="shared" si="2"/>
        <v>199299.49167843649</v>
      </c>
      <c r="Z9" s="313">
        <f t="shared" si="2"/>
        <v>198302.99422004432</v>
      </c>
      <c r="AA9" s="313">
        <f t="shared" si="2"/>
        <v>197311.47924894412</v>
      </c>
      <c r="AB9" s="313">
        <f t="shared" si="2"/>
        <v>196324.92185269939</v>
      </c>
      <c r="AC9" s="313">
        <f t="shared" si="2"/>
        <v>195343.29724343587</v>
      </c>
      <c r="AD9" s="313">
        <f t="shared" si="2"/>
        <v>194366.58075721873</v>
      </c>
      <c r="AE9" s="313">
        <f t="shared" si="2"/>
        <v>193394.74785343267</v>
      </c>
    </row>
    <row r="10" spans="1:31" s="147" customFormat="1" ht="16.5" customHeight="1" x14ac:dyDescent="0.35">
      <c r="B10" s="148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</row>
    <row r="11" spans="1:31" ht="16.5" customHeight="1" thickBot="1" x14ac:dyDescent="0.4">
      <c r="A11" s="290" t="s">
        <v>303</v>
      </c>
      <c r="B11" s="290">
        <v>1</v>
      </c>
      <c r="C11" s="290">
        <v>2</v>
      </c>
      <c r="D11" s="290">
        <v>3</v>
      </c>
      <c r="E11" s="290">
        <v>4</v>
      </c>
      <c r="F11" s="290">
        <v>5</v>
      </c>
      <c r="G11" s="290">
        <v>6</v>
      </c>
      <c r="H11" s="290">
        <v>7</v>
      </c>
      <c r="I11" s="290">
        <v>8</v>
      </c>
      <c r="J11" s="290">
        <v>9</v>
      </c>
      <c r="K11" s="290">
        <v>10</v>
      </c>
      <c r="L11" s="290">
        <v>11</v>
      </c>
      <c r="M11" s="290">
        <v>12</v>
      </c>
      <c r="N11" s="290">
        <v>13</v>
      </c>
      <c r="O11" s="290">
        <v>14</v>
      </c>
      <c r="P11" s="290">
        <v>15</v>
      </c>
      <c r="Q11" s="290">
        <v>16</v>
      </c>
      <c r="R11" s="290">
        <v>17</v>
      </c>
      <c r="S11" s="290">
        <v>18</v>
      </c>
      <c r="T11" s="290">
        <v>19</v>
      </c>
      <c r="U11" s="290">
        <v>20</v>
      </c>
      <c r="V11" s="290">
        <v>21</v>
      </c>
      <c r="W11" s="290">
        <v>22</v>
      </c>
      <c r="X11" s="290">
        <v>23</v>
      </c>
      <c r="Y11" s="290">
        <v>24</v>
      </c>
      <c r="Z11" s="290">
        <v>25</v>
      </c>
      <c r="AA11" s="290">
        <v>26</v>
      </c>
      <c r="AB11" s="290">
        <v>27</v>
      </c>
      <c r="AC11" s="290">
        <v>28</v>
      </c>
      <c r="AD11" s="290">
        <v>29</v>
      </c>
      <c r="AE11" s="290">
        <v>30</v>
      </c>
    </row>
    <row r="12" spans="1:31" ht="16.5" customHeight="1" x14ac:dyDescent="0.35">
      <c r="A12" s="251" t="s">
        <v>311</v>
      </c>
      <c r="B12" s="311">
        <f>Inputs!$D$23*Inputs!$D$24*Inputs!$D$27</f>
        <v>94900</v>
      </c>
      <c r="C12" s="311">
        <f>Inputs!$D$23*Inputs!$D$24*Inputs!$D$27</f>
        <v>94900</v>
      </c>
      <c r="D12" s="311">
        <f>Inputs!$D$23*Inputs!$D$24*Inputs!$D$27</f>
        <v>94900</v>
      </c>
      <c r="E12" s="311">
        <f>Inputs!$D$23*Inputs!$D$24*Inputs!$D$27</f>
        <v>94900</v>
      </c>
      <c r="F12" s="311">
        <f>Inputs!$D$23*Inputs!$D$24*Inputs!$D$27</f>
        <v>94900</v>
      </c>
      <c r="G12" s="311">
        <f>Inputs!$D$23*Inputs!$D$24*Inputs!$D$27</f>
        <v>94900</v>
      </c>
      <c r="H12" s="311">
        <f>Inputs!$D$23*Inputs!$D$24*Inputs!$D$27</f>
        <v>94900</v>
      </c>
      <c r="I12" s="311">
        <f>Inputs!$D$23*Inputs!$D$24*Inputs!$D$27</f>
        <v>94900</v>
      </c>
      <c r="J12" s="311">
        <f>Inputs!$D$23*Inputs!$D$24*Inputs!$D$27</f>
        <v>94900</v>
      </c>
      <c r="K12" s="311">
        <f>Inputs!$D$23*Inputs!$D$24*Inputs!$D$27</f>
        <v>94900</v>
      </c>
      <c r="L12" s="311">
        <f>Inputs!$D$23*Inputs!$D$24*Inputs!$D$27</f>
        <v>94900</v>
      </c>
      <c r="M12" s="311">
        <f>Inputs!$D$23*Inputs!$D$24*Inputs!$D$27</f>
        <v>94900</v>
      </c>
      <c r="N12" s="311">
        <f>Inputs!$D$23*Inputs!$D$24*Inputs!$D$27</f>
        <v>94900</v>
      </c>
      <c r="O12" s="311">
        <f>Inputs!$D$23*Inputs!$D$24*Inputs!$D$27</f>
        <v>94900</v>
      </c>
      <c r="P12" s="311">
        <f>Inputs!$D$23*Inputs!$D$24*Inputs!$D$27</f>
        <v>94900</v>
      </c>
      <c r="Q12" s="311">
        <f>Inputs!$D$23*Inputs!$D$24*Inputs!$D$27</f>
        <v>94900</v>
      </c>
      <c r="R12" s="311">
        <f>Inputs!$D$23*Inputs!$D$24*Inputs!$D$27</f>
        <v>94900</v>
      </c>
      <c r="S12" s="311">
        <f>Inputs!$D$23*Inputs!$D$24*Inputs!$D$27</f>
        <v>94900</v>
      </c>
      <c r="T12" s="311">
        <f>Inputs!$D$23*Inputs!$D$24*Inputs!$D$27</f>
        <v>94900</v>
      </c>
      <c r="U12" s="311">
        <f>Inputs!$D$23*Inputs!$D$24*Inputs!$D$27</f>
        <v>94900</v>
      </c>
      <c r="V12" s="311">
        <f>Inputs!$D$23*Inputs!$D$24*Inputs!$D$27</f>
        <v>94900</v>
      </c>
      <c r="W12" s="311">
        <f>Inputs!$D$23*Inputs!$D$24*Inputs!$D$27</f>
        <v>94900</v>
      </c>
      <c r="X12" s="311">
        <f>Inputs!$D$23*Inputs!$D$24*Inputs!$D$27</f>
        <v>94900</v>
      </c>
      <c r="Y12" s="311">
        <f>Inputs!$D$23*Inputs!$D$24*Inputs!$D$27</f>
        <v>94900</v>
      </c>
      <c r="Z12" s="311">
        <f>Inputs!$D$23*Inputs!$D$24*Inputs!$D$27</f>
        <v>94900</v>
      </c>
      <c r="AA12" s="311">
        <f>Inputs!$D$23*Inputs!$D$24*Inputs!$D$27</f>
        <v>94900</v>
      </c>
      <c r="AB12" s="311">
        <f>Inputs!$D$23*Inputs!$D$24*Inputs!$D$27</f>
        <v>94900</v>
      </c>
      <c r="AC12" s="311">
        <f>Inputs!$D$23*Inputs!$D$24*Inputs!$D$27</f>
        <v>94900</v>
      </c>
      <c r="AD12" s="311">
        <f>Inputs!$D$23*Inputs!$D$24*Inputs!$D$27</f>
        <v>94900</v>
      </c>
      <c r="AE12" s="311">
        <f>Inputs!$D$23*Inputs!$D$24*Inputs!$D$27</f>
        <v>94900</v>
      </c>
    </row>
    <row r="13" spans="1:31" ht="16.5" customHeight="1" x14ac:dyDescent="0.35">
      <c r="A13" s="253" t="s">
        <v>312</v>
      </c>
      <c r="B13" s="312">
        <f>(1-Inputs!$D$26)^(Energy!B11-1)</f>
        <v>1</v>
      </c>
      <c r="C13" s="312">
        <f>(1-Inputs!$D$26)^(Energy!C11-1)</f>
        <v>0.97499999999999998</v>
      </c>
      <c r="D13" s="312">
        <f>(1-Inputs!$D$26)^(Energy!D11-1)</f>
        <v>0.95062499999999994</v>
      </c>
      <c r="E13" s="312">
        <f>(1-Inputs!$D$26)^(Energy!E11-1)</f>
        <v>0.92685937499999993</v>
      </c>
      <c r="F13" s="312">
        <f>(1-Inputs!$D$26)^(Energy!F11-1)</f>
        <v>0.90368789062499988</v>
      </c>
      <c r="G13" s="312">
        <f>(1-Inputs!$D$26)^(Energy!G11-1)</f>
        <v>0.88109569335937488</v>
      </c>
      <c r="H13" s="312">
        <f>(1-Inputs!$D$26)^(Energy!H11-1)</f>
        <v>0.85906830102539045</v>
      </c>
      <c r="I13" s="312">
        <f>(1-Inputs!$D$26)^(Energy!I11-1)</f>
        <v>0.83759159349975565</v>
      </c>
      <c r="J13" s="312">
        <f>(1-Inputs!$D$26)^(Energy!J11-1)</f>
        <v>0.81665180366226175</v>
      </c>
      <c r="K13" s="312">
        <f>(1-Inputs!$D$26)^(Energy!K11-1)</f>
        <v>0.79623550857070524</v>
      </c>
      <c r="L13" s="312">
        <f>(1-Inputs!$D$26)^(Energy!L11-1)</f>
        <v>0.77632962085643753</v>
      </c>
      <c r="M13" s="312">
        <f>(1-Inputs!$D$26)^(Energy!M11-1)</f>
        <v>0.75692138033502654</v>
      </c>
      <c r="N13" s="312">
        <f>(1-Inputs!$D$26)^(Energy!N11-1)</f>
        <v>0.73799834582665091</v>
      </c>
      <c r="O13" s="312">
        <f>(1-Inputs!$D$26)^(Energy!O11-1)</f>
        <v>0.71954838718098457</v>
      </c>
      <c r="P13" s="312">
        <f>(1-Inputs!$D$26)^(Energy!P11-1)</f>
        <v>0.70155967750145998</v>
      </c>
      <c r="Q13" s="312">
        <f>(1-Inputs!$D$26)^(Energy!Q11-1)</f>
        <v>0.68402068556392337</v>
      </c>
      <c r="R13" s="312">
        <f>(1-Inputs!$D$26)^(Energy!R11-1)</f>
        <v>0.66692016842482538</v>
      </c>
      <c r="S13" s="312">
        <f>(1-Inputs!$D$26)^(Energy!S11-1)</f>
        <v>0.6502471642142047</v>
      </c>
      <c r="T13" s="312">
        <f>(1-Inputs!$D$26)^(Energy!T11-1)</f>
        <v>0.63399098510884955</v>
      </c>
      <c r="U13" s="312">
        <f>(1-Inputs!$D$26)^(Energy!U11-1)</f>
        <v>0.61814121048112836</v>
      </c>
      <c r="V13" s="312">
        <f>(1-Inputs!$D$26)^(Energy!V11-1)</f>
        <v>0.60268768021910013</v>
      </c>
      <c r="W13" s="312">
        <f>(1-Inputs!$D$26)^(Energy!W11-1)</f>
        <v>0.58762048821362256</v>
      </c>
      <c r="X13" s="312">
        <f>(1-Inputs!$D$26)^(Energy!X11-1)</f>
        <v>0.57292997600828199</v>
      </c>
      <c r="Y13" s="312">
        <f>(1-Inputs!$D$26)^(Energy!Y11-1)</f>
        <v>0.55860672660807487</v>
      </c>
      <c r="Z13" s="312">
        <f>(1-Inputs!$D$26)^(Energy!Z11-1)</f>
        <v>0.54464155844287299</v>
      </c>
      <c r="AA13" s="312">
        <f>(1-Inputs!$D$26)^(Energy!AA11-1)</f>
        <v>0.53102551948180121</v>
      </c>
      <c r="AB13" s="312">
        <f>(1-Inputs!$D$26)^(Energy!AB11-1)</f>
        <v>0.51774988149475609</v>
      </c>
      <c r="AC13" s="312">
        <f>(1-Inputs!$D$26)^(Energy!AC11-1)</f>
        <v>0.5048061344573872</v>
      </c>
      <c r="AD13" s="312">
        <f>(1-Inputs!$D$26)^(Energy!AD11-1)</f>
        <v>0.49218598109595257</v>
      </c>
      <c r="AE13" s="312">
        <f>(1-Inputs!$D$26)^(Energy!AE11-1)</f>
        <v>0.47988133156855367</v>
      </c>
    </row>
    <row r="14" spans="1:31" ht="16.5" customHeight="1" x14ac:dyDescent="0.35">
      <c r="A14" s="251" t="s">
        <v>313</v>
      </c>
      <c r="B14" s="311">
        <f t="shared" ref="B14:AE14" si="3">B12*B13</f>
        <v>94900</v>
      </c>
      <c r="C14" s="311">
        <f t="shared" si="3"/>
        <v>92527.5</v>
      </c>
      <c r="D14" s="311">
        <f t="shared" si="3"/>
        <v>90214.3125</v>
      </c>
      <c r="E14" s="311">
        <f t="shared" si="3"/>
        <v>87958.954687499994</v>
      </c>
      <c r="F14" s="311">
        <f t="shared" si="3"/>
        <v>85759.980820312485</v>
      </c>
      <c r="G14" s="311">
        <f t="shared" si="3"/>
        <v>83615.981299804669</v>
      </c>
      <c r="H14" s="311">
        <f t="shared" si="3"/>
        <v>81525.581767309559</v>
      </c>
      <c r="I14" s="311">
        <f t="shared" si="3"/>
        <v>79487.442223126811</v>
      </c>
      <c r="J14" s="311">
        <f t="shared" si="3"/>
        <v>77500.256167548636</v>
      </c>
      <c r="K14" s="311">
        <f t="shared" si="3"/>
        <v>75562.749763359927</v>
      </c>
      <c r="L14" s="311">
        <f t="shared" si="3"/>
        <v>73673.681019275915</v>
      </c>
      <c r="M14" s="311">
        <f t="shared" si="3"/>
        <v>71831.838993794023</v>
      </c>
      <c r="N14" s="311">
        <f t="shared" si="3"/>
        <v>70036.043018949174</v>
      </c>
      <c r="O14" s="311">
        <f t="shared" si="3"/>
        <v>68285.141943475435</v>
      </c>
      <c r="P14" s="311">
        <f t="shared" si="3"/>
        <v>66578.013394888549</v>
      </c>
      <c r="Q14" s="311">
        <f t="shared" si="3"/>
        <v>64913.563060016328</v>
      </c>
      <c r="R14" s="311">
        <f t="shared" si="3"/>
        <v>63290.723983515927</v>
      </c>
      <c r="S14" s="311">
        <f t="shared" si="3"/>
        <v>61708.455883928029</v>
      </c>
      <c r="T14" s="311">
        <f t="shared" si="3"/>
        <v>60165.744486829819</v>
      </c>
      <c r="U14" s="311">
        <f t="shared" si="3"/>
        <v>58661.600874659081</v>
      </c>
      <c r="V14" s="311">
        <f t="shared" si="3"/>
        <v>57195.060852792602</v>
      </c>
      <c r="W14" s="311">
        <f t="shared" si="3"/>
        <v>55765.184331472781</v>
      </c>
      <c r="X14" s="311">
        <f t="shared" si="3"/>
        <v>54371.05472318596</v>
      </c>
      <c r="Y14" s="311">
        <f t="shared" si="3"/>
        <v>53011.778355106304</v>
      </c>
      <c r="Z14" s="311">
        <f t="shared" si="3"/>
        <v>51686.483896228645</v>
      </c>
      <c r="AA14" s="311">
        <f t="shared" si="3"/>
        <v>50394.321798822937</v>
      </c>
      <c r="AB14" s="311">
        <f t="shared" si="3"/>
        <v>49134.463753852353</v>
      </c>
      <c r="AC14" s="311">
        <f t="shared" si="3"/>
        <v>47906.102160006049</v>
      </c>
      <c r="AD14" s="311">
        <f t="shared" si="3"/>
        <v>46708.449606005903</v>
      </c>
      <c r="AE14" s="311">
        <f t="shared" si="3"/>
        <v>45540.738365855745</v>
      </c>
    </row>
    <row r="15" spans="1:31" ht="16.5" customHeight="1" x14ac:dyDescent="0.35">
      <c r="A15" s="253" t="s">
        <v>314</v>
      </c>
      <c r="B15" s="312">
        <f t="shared" ref="B15:AE15" si="4">B8</f>
        <v>9318.8880000000008</v>
      </c>
      <c r="C15" s="312">
        <f t="shared" si="4"/>
        <v>9272.2935600000001</v>
      </c>
      <c r="D15" s="312">
        <f t="shared" si="4"/>
        <v>9225.9320922000006</v>
      </c>
      <c r="E15" s="312">
        <f t="shared" si="4"/>
        <v>9179.8024317390009</v>
      </c>
      <c r="F15" s="312">
        <f t="shared" si="4"/>
        <v>9133.9034195803069</v>
      </c>
      <c r="G15" s="312">
        <f t="shared" si="4"/>
        <v>9088.233902482405</v>
      </c>
      <c r="H15" s="312">
        <f t="shared" si="4"/>
        <v>9042.7927329699924</v>
      </c>
      <c r="I15" s="312">
        <f t="shared" si="4"/>
        <v>8997.5787693051407</v>
      </c>
      <c r="J15" s="312">
        <f t="shared" si="4"/>
        <v>8952.5908754586162</v>
      </c>
      <c r="K15" s="312">
        <f t="shared" si="4"/>
        <v>8907.8279210813234</v>
      </c>
      <c r="L15" s="312">
        <f t="shared" si="4"/>
        <v>8863.288781475916</v>
      </c>
      <c r="M15" s="312">
        <f t="shared" si="4"/>
        <v>8818.9723375685371</v>
      </c>
      <c r="N15" s="312">
        <f t="shared" si="4"/>
        <v>8774.8774758806958</v>
      </c>
      <c r="O15" s="312">
        <f t="shared" si="4"/>
        <v>8731.003088501293</v>
      </c>
      <c r="P15" s="312">
        <f t="shared" si="4"/>
        <v>8687.3480730587853</v>
      </c>
      <c r="Q15" s="312">
        <f t="shared" si="4"/>
        <v>8643.9113326934912</v>
      </c>
      <c r="R15" s="312">
        <f t="shared" si="4"/>
        <v>8600.6917760300239</v>
      </c>
      <c r="S15" s="312">
        <f t="shared" si="4"/>
        <v>8557.6883171498739</v>
      </c>
      <c r="T15" s="312">
        <f t="shared" si="4"/>
        <v>8514.8998755641242</v>
      </c>
      <c r="U15" s="312">
        <f t="shared" si="4"/>
        <v>8472.3253761863034</v>
      </c>
      <c r="V15" s="312">
        <f t="shared" si="4"/>
        <v>8429.9637493053724</v>
      </c>
      <c r="W15" s="312">
        <f t="shared" si="4"/>
        <v>8387.8139305588447</v>
      </c>
      <c r="X15" s="312">
        <f t="shared" si="4"/>
        <v>8345.8748609060513</v>
      </c>
      <c r="Y15" s="312">
        <f t="shared" si="4"/>
        <v>8304.145486601521</v>
      </c>
      <c r="Z15" s="312">
        <f t="shared" si="4"/>
        <v>8262.6247591685133</v>
      </c>
      <c r="AA15" s="312">
        <f t="shared" si="4"/>
        <v>8221.3116353726709</v>
      </c>
      <c r="AB15" s="312">
        <f t="shared" si="4"/>
        <v>8180.2050771958084</v>
      </c>
      <c r="AC15" s="312">
        <f t="shared" si="4"/>
        <v>8139.3040518098278</v>
      </c>
      <c r="AD15" s="312">
        <f t="shared" si="4"/>
        <v>8098.6075315507805</v>
      </c>
      <c r="AE15" s="312">
        <f t="shared" si="4"/>
        <v>8058.1144938930274</v>
      </c>
    </row>
    <row r="16" spans="1:31" ht="16.5" customHeight="1" x14ac:dyDescent="0.35">
      <c r="A16" s="251" t="s">
        <v>315</v>
      </c>
      <c r="B16" s="311">
        <f t="shared" ref="B16:AE16" si="5">B14-B15</f>
        <v>85581.111999999994</v>
      </c>
      <c r="C16" s="311">
        <f t="shared" si="5"/>
        <v>83255.206439999994</v>
      </c>
      <c r="D16" s="311">
        <f t="shared" si="5"/>
        <v>80988.380407799996</v>
      </c>
      <c r="E16" s="311">
        <f t="shared" si="5"/>
        <v>78779.152255761001</v>
      </c>
      <c r="F16" s="311">
        <f t="shared" si="5"/>
        <v>76626.077400732174</v>
      </c>
      <c r="G16" s="311">
        <f t="shared" si="5"/>
        <v>74527.747397322266</v>
      </c>
      <c r="H16" s="311">
        <f t="shared" si="5"/>
        <v>72482.78903433957</v>
      </c>
      <c r="I16" s="311">
        <f t="shared" si="5"/>
        <v>70489.863453821672</v>
      </c>
      <c r="J16" s="311">
        <f t="shared" si="5"/>
        <v>68547.665292090023</v>
      </c>
      <c r="K16" s="311">
        <f t="shared" si="5"/>
        <v>66654.921842278607</v>
      </c>
      <c r="L16" s="311">
        <f t="shared" si="5"/>
        <v>64810.392237799999</v>
      </c>
      <c r="M16" s="311">
        <f t="shared" si="5"/>
        <v>63012.866656225488</v>
      </c>
      <c r="N16" s="311">
        <f t="shared" si="5"/>
        <v>61261.165543068477</v>
      </c>
      <c r="O16" s="311">
        <f t="shared" si="5"/>
        <v>59554.138854974139</v>
      </c>
      <c r="P16" s="311">
        <f t="shared" si="5"/>
        <v>57890.665321829765</v>
      </c>
      <c r="Q16" s="311">
        <f t="shared" si="5"/>
        <v>56269.651727322838</v>
      </c>
      <c r="R16" s="311">
        <f t="shared" si="5"/>
        <v>54690.0322074859</v>
      </c>
      <c r="S16" s="311">
        <f t="shared" si="5"/>
        <v>53150.767566778159</v>
      </c>
      <c r="T16" s="311">
        <f t="shared" si="5"/>
        <v>51650.844611265697</v>
      </c>
      <c r="U16" s="311">
        <f t="shared" si="5"/>
        <v>50189.27549847278</v>
      </c>
      <c r="V16" s="311">
        <f t="shared" si="5"/>
        <v>48765.097103487227</v>
      </c>
      <c r="W16" s="311">
        <f t="shared" si="5"/>
        <v>47377.370400913933</v>
      </c>
      <c r="X16" s="311">
        <f t="shared" si="5"/>
        <v>46025.179862279911</v>
      </c>
      <c r="Y16" s="311">
        <f t="shared" si="5"/>
        <v>44707.632868504785</v>
      </c>
      <c r="Z16" s="311">
        <f t="shared" si="5"/>
        <v>43423.859137060135</v>
      </c>
      <c r="AA16" s="311">
        <f t="shared" si="5"/>
        <v>42173.010163450264</v>
      </c>
      <c r="AB16" s="311">
        <f t="shared" si="5"/>
        <v>40954.258676656544</v>
      </c>
      <c r="AC16" s="311">
        <f t="shared" si="5"/>
        <v>39766.798108196221</v>
      </c>
      <c r="AD16" s="311">
        <f t="shared" si="5"/>
        <v>38609.842074455126</v>
      </c>
      <c r="AE16" s="311">
        <f t="shared" si="5"/>
        <v>37482.623871962714</v>
      </c>
    </row>
    <row r="17" spans="1:31" ht="16.5" customHeight="1" x14ac:dyDescent="0.35">
      <c r="A17" s="253" t="s">
        <v>316</v>
      </c>
      <c r="B17" s="312">
        <f t="shared" ref="B17:AE17" si="6">MIN(B14,SUM(B15:B16))</f>
        <v>94900</v>
      </c>
      <c r="C17" s="312">
        <f t="shared" si="6"/>
        <v>92527.5</v>
      </c>
      <c r="D17" s="312">
        <f t="shared" si="6"/>
        <v>90214.3125</v>
      </c>
      <c r="E17" s="312">
        <f t="shared" si="6"/>
        <v>87958.954687499994</v>
      </c>
      <c r="F17" s="312">
        <f t="shared" si="6"/>
        <v>85759.980820312485</v>
      </c>
      <c r="G17" s="312">
        <f t="shared" si="6"/>
        <v>83615.981299804669</v>
      </c>
      <c r="H17" s="312">
        <f t="shared" si="6"/>
        <v>81525.581767309559</v>
      </c>
      <c r="I17" s="312">
        <f t="shared" si="6"/>
        <v>79487.442223126811</v>
      </c>
      <c r="J17" s="312">
        <f t="shared" si="6"/>
        <v>77500.256167548636</v>
      </c>
      <c r="K17" s="312">
        <f t="shared" si="6"/>
        <v>75562.749763359927</v>
      </c>
      <c r="L17" s="312">
        <f t="shared" si="6"/>
        <v>73673.681019275915</v>
      </c>
      <c r="M17" s="312">
        <f t="shared" si="6"/>
        <v>71831.838993794023</v>
      </c>
      <c r="N17" s="312">
        <f t="shared" si="6"/>
        <v>70036.043018949174</v>
      </c>
      <c r="O17" s="312">
        <f t="shared" si="6"/>
        <v>68285.141943475435</v>
      </c>
      <c r="P17" s="312">
        <f t="shared" si="6"/>
        <v>66578.013394888549</v>
      </c>
      <c r="Q17" s="312">
        <f t="shared" si="6"/>
        <v>64913.563060016328</v>
      </c>
      <c r="R17" s="312">
        <f t="shared" si="6"/>
        <v>63290.723983515927</v>
      </c>
      <c r="S17" s="312">
        <f t="shared" si="6"/>
        <v>61708.455883928029</v>
      </c>
      <c r="T17" s="312">
        <f t="shared" si="6"/>
        <v>60165.744486829819</v>
      </c>
      <c r="U17" s="312">
        <f t="shared" si="6"/>
        <v>58661.600874659081</v>
      </c>
      <c r="V17" s="312">
        <f t="shared" si="6"/>
        <v>57195.060852792602</v>
      </c>
      <c r="W17" s="312">
        <f t="shared" si="6"/>
        <v>55765.184331472774</v>
      </c>
      <c r="X17" s="312">
        <f t="shared" si="6"/>
        <v>54371.05472318596</v>
      </c>
      <c r="Y17" s="312">
        <f t="shared" si="6"/>
        <v>53011.778355106304</v>
      </c>
      <c r="Z17" s="312">
        <f t="shared" si="6"/>
        <v>51686.483896228645</v>
      </c>
      <c r="AA17" s="312">
        <f t="shared" si="6"/>
        <v>50394.321798822937</v>
      </c>
      <c r="AB17" s="312">
        <f t="shared" si="6"/>
        <v>49134.463753852353</v>
      </c>
      <c r="AC17" s="312">
        <f t="shared" si="6"/>
        <v>47906.102160006049</v>
      </c>
      <c r="AD17" s="312">
        <f t="shared" si="6"/>
        <v>46708.449606005903</v>
      </c>
      <c r="AE17" s="312">
        <f t="shared" si="6"/>
        <v>45540.738365855745</v>
      </c>
    </row>
    <row r="18" spans="1:31" ht="16.5" customHeight="1" x14ac:dyDescent="0.35">
      <c r="A18" s="251" t="s">
        <v>317</v>
      </c>
      <c r="B18" s="314">
        <f>B17*(1-Inputs!$D$25)</f>
        <v>14235.000000000002</v>
      </c>
      <c r="C18" s="314">
        <f>C17*(1-Inputs!$D$25)</f>
        <v>13879.125000000002</v>
      </c>
      <c r="D18" s="314">
        <f>D17*(1-Inputs!$D$25)</f>
        <v>13532.146875000002</v>
      </c>
      <c r="E18" s="314">
        <f>E17*(1-Inputs!$D$25)</f>
        <v>13193.843203125001</v>
      </c>
      <c r="F18" s="314">
        <f>F17*(1-Inputs!$D$25)</f>
        <v>12863.997123046875</v>
      </c>
      <c r="G18" s="314">
        <f>G17*(1-Inputs!$D$25)</f>
        <v>12542.397194970703</v>
      </c>
      <c r="H18" s="314">
        <f>H17*(1-Inputs!$D$25)</f>
        <v>12228.837265096436</v>
      </c>
      <c r="I18" s="314">
        <f>I17*(1-Inputs!$D$25)</f>
        <v>11923.116333469023</v>
      </c>
      <c r="J18" s="314">
        <f>J17*(1-Inputs!$D$25)</f>
        <v>11625.038425132298</v>
      </c>
      <c r="K18" s="314">
        <f>K17*(1-Inputs!$D$25)</f>
        <v>11334.41246450399</v>
      </c>
      <c r="L18" s="314">
        <f>L17*(1-Inputs!$D$25)</f>
        <v>11051.052152891389</v>
      </c>
      <c r="M18" s="314">
        <f>M17*(1-Inputs!$D$25)</f>
        <v>10774.775849069105</v>
      </c>
      <c r="N18" s="314">
        <f>N17*(1-Inputs!$D$25)</f>
        <v>10505.406452842377</v>
      </c>
      <c r="O18" s="314">
        <f>O17*(1-Inputs!$D$25)</f>
        <v>10242.771291521316</v>
      </c>
      <c r="P18" s="314">
        <f>P17*(1-Inputs!$D$25)</f>
        <v>9986.7020092332841</v>
      </c>
      <c r="Q18" s="314">
        <f>Q17*(1-Inputs!$D$25)</f>
        <v>9737.0344590024506</v>
      </c>
      <c r="R18" s="314">
        <f>R17*(1-Inputs!$D$25)</f>
        <v>9493.6085975273909</v>
      </c>
      <c r="S18" s="314">
        <f>S17*(1-Inputs!$D$25)</f>
        <v>9256.2683825892054</v>
      </c>
      <c r="T18" s="314">
        <f>T17*(1-Inputs!$D$25)</f>
        <v>9024.8616730244739</v>
      </c>
      <c r="U18" s="314">
        <f>U17*(1-Inputs!$D$25)</f>
        <v>8799.2401311988633</v>
      </c>
      <c r="V18" s="314">
        <f>V17*(1-Inputs!$D$25)</f>
        <v>8579.259127918891</v>
      </c>
      <c r="W18" s="314">
        <f>W17*(1-Inputs!$D$25)</f>
        <v>8364.7776497209179</v>
      </c>
      <c r="X18" s="314">
        <f>X17*(1-Inputs!$D$25)</f>
        <v>8155.6582084778956</v>
      </c>
      <c r="Y18" s="314">
        <f>Y17*(1-Inputs!$D$25)</f>
        <v>7951.766753265947</v>
      </c>
      <c r="Z18" s="314">
        <f>Z17*(1-Inputs!$D$25)</f>
        <v>7752.9725844342975</v>
      </c>
      <c r="AA18" s="314">
        <f>AA17*(1-Inputs!$D$25)</f>
        <v>7559.1482698234413</v>
      </c>
      <c r="AB18" s="314">
        <f>AB17*(1-Inputs!$D$25)</f>
        <v>7370.169563077854</v>
      </c>
      <c r="AC18" s="314">
        <f>AC17*(1-Inputs!$D$25)</f>
        <v>7185.9153240009082</v>
      </c>
      <c r="AD18" s="314">
        <f>AD17*(1-Inputs!$D$25)</f>
        <v>7006.2674409008869</v>
      </c>
      <c r="AE18" s="314">
        <f>AE17*(1-Inputs!$D$25)</f>
        <v>6831.110754878363</v>
      </c>
    </row>
    <row r="19" spans="1:31" ht="16.5" customHeight="1" x14ac:dyDescent="0.35">
      <c r="A19" s="261" t="s">
        <v>318</v>
      </c>
      <c r="B19" s="313">
        <f t="shared" ref="B19:AE19" si="7">B17-B18</f>
        <v>80665</v>
      </c>
      <c r="C19" s="313">
        <f t="shared" si="7"/>
        <v>78648.375</v>
      </c>
      <c r="D19" s="313">
        <f t="shared" si="7"/>
        <v>76682.165624999994</v>
      </c>
      <c r="E19" s="313">
        <f t="shared" si="7"/>
        <v>74765.111484374997</v>
      </c>
      <c r="F19" s="313">
        <f t="shared" si="7"/>
        <v>72895.983697265605</v>
      </c>
      <c r="G19" s="313">
        <f t="shared" si="7"/>
        <v>71073.584104833964</v>
      </c>
      <c r="H19" s="313">
        <f t="shared" si="7"/>
        <v>69296.744502213129</v>
      </c>
      <c r="I19" s="313">
        <f t="shared" si="7"/>
        <v>67564.32588965779</v>
      </c>
      <c r="J19" s="313">
        <f t="shared" si="7"/>
        <v>65875.217742416338</v>
      </c>
      <c r="K19" s="313">
        <f t="shared" si="7"/>
        <v>64228.337298855935</v>
      </c>
      <c r="L19" s="313">
        <f t="shared" si="7"/>
        <v>62622.628866384526</v>
      </c>
      <c r="M19" s="313">
        <f t="shared" si="7"/>
        <v>61057.063144724918</v>
      </c>
      <c r="N19" s="313">
        <f t="shared" si="7"/>
        <v>59530.636566106798</v>
      </c>
      <c r="O19" s="313">
        <f t="shared" si="7"/>
        <v>58042.370651954116</v>
      </c>
      <c r="P19" s="313">
        <f t="shared" si="7"/>
        <v>56591.311385655266</v>
      </c>
      <c r="Q19" s="313">
        <f t="shared" si="7"/>
        <v>55176.528601013881</v>
      </c>
      <c r="R19" s="313">
        <f t="shared" si="7"/>
        <v>53797.115385988538</v>
      </c>
      <c r="S19" s="313">
        <f t="shared" si="7"/>
        <v>52452.18750133882</v>
      </c>
      <c r="T19" s="313">
        <f t="shared" si="7"/>
        <v>51140.882813805343</v>
      </c>
      <c r="U19" s="313">
        <f t="shared" si="7"/>
        <v>49862.360743460216</v>
      </c>
      <c r="V19" s="313">
        <f t="shared" si="7"/>
        <v>48615.801724873709</v>
      </c>
      <c r="W19" s="313">
        <f t="shared" si="7"/>
        <v>47400.406681751854</v>
      </c>
      <c r="X19" s="313">
        <f t="shared" si="7"/>
        <v>46215.396514708067</v>
      </c>
      <c r="Y19" s="313">
        <f t="shared" si="7"/>
        <v>45060.011601840357</v>
      </c>
      <c r="Z19" s="313">
        <f t="shared" si="7"/>
        <v>43933.511311794347</v>
      </c>
      <c r="AA19" s="313">
        <f t="shared" si="7"/>
        <v>42835.173528999498</v>
      </c>
      <c r="AB19" s="313">
        <f t="shared" si="7"/>
        <v>41764.294190774497</v>
      </c>
      <c r="AC19" s="313">
        <f t="shared" si="7"/>
        <v>40720.186836005138</v>
      </c>
      <c r="AD19" s="313">
        <f t="shared" si="7"/>
        <v>39702.182165105012</v>
      </c>
      <c r="AE19" s="313">
        <f t="shared" si="7"/>
        <v>38709.627610977383</v>
      </c>
    </row>
  </sheetData>
  <mergeCells count="1">
    <mergeCell ref="A1:AE1"/>
  </mergeCells>
  <pageMargins left="0.7" right="0.7" top="0.75" bottom="0.75" header="0.511811023622047" footer="0.511811023622047"/>
  <pageSetup paperSize="9" orientation="portrait" horizontalDpi="300" verticalDpi="300"/>
  <ignoredErrors>
    <ignoredError sqref="B8 C8:AE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A1:AF50"/>
  <sheetViews>
    <sheetView showGridLines="0" zoomScaleNormal="100"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ColWidth="8.7265625" defaultRowHeight="14.5" x14ac:dyDescent="0.35"/>
  <cols>
    <col min="1" max="1" width="1.7265625" customWidth="1"/>
    <col min="2" max="2" width="47.81640625" bestFit="1" customWidth="1"/>
    <col min="3" max="32" width="15.54296875" bestFit="1" customWidth="1"/>
  </cols>
  <sheetData>
    <row r="1" spans="1:32" ht="27.75" customHeight="1" thickBot="1" x14ac:dyDescent="0.4">
      <c r="A1" s="512" t="s">
        <v>319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</row>
    <row r="2" spans="1:32" ht="18" customHeight="1" thickBot="1" x14ac:dyDescent="0.4">
      <c r="B2" s="290" t="s">
        <v>303</v>
      </c>
      <c r="C2" s="290">
        <v>1</v>
      </c>
      <c r="D2" s="290">
        <v>2</v>
      </c>
      <c r="E2" s="290">
        <v>3</v>
      </c>
      <c r="F2" s="290">
        <v>4</v>
      </c>
      <c r="G2" s="290">
        <v>5</v>
      </c>
      <c r="H2" s="290">
        <v>6</v>
      </c>
      <c r="I2" s="290">
        <v>7</v>
      </c>
      <c r="J2" s="290">
        <v>8</v>
      </c>
      <c r="K2" s="290">
        <v>9</v>
      </c>
      <c r="L2" s="290">
        <v>10</v>
      </c>
      <c r="M2" s="290">
        <v>11</v>
      </c>
      <c r="N2" s="290">
        <v>12</v>
      </c>
      <c r="O2" s="290">
        <v>13</v>
      </c>
      <c r="P2" s="290">
        <v>14</v>
      </c>
      <c r="Q2" s="290">
        <v>15</v>
      </c>
      <c r="R2" s="290">
        <v>16</v>
      </c>
      <c r="S2" s="290">
        <v>17</v>
      </c>
      <c r="T2" s="290">
        <v>18</v>
      </c>
      <c r="U2" s="290">
        <v>19</v>
      </c>
      <c r="V2" s="290">
        <v>20</v>
      </c>
      <c r="W2" s="290">
        <v>21</v>
      </c>
      <c r="X2" s="290">
        <v>22</v>
      </c>
      <c r="Y2" s="290">
        <v>23</v>
      </c>
      <c r="Z2" s="290">
        <v>24</v>
      </c>
      <c r="AA2" s="290">
        <v>25</v>
      </c>
      <c r="AB2" s="290">
        <v>26</v>
      </c>
      <c r="AC2" s="290">
        <v>27</v>
      </c>
      <c r="AD2" s="290">
        <v>28</v>
      </c>
      <c r="AE2" s="290">
        <v>29</v>
      </c>
      <c r="AF2" s="290">
        <v>30</v>
      </c>
    </row>
    <row r="3" spans="1:32" s="165" customFormat="1" ht="16.5" customHeight="1" thickBot="1" x14ac:dyDescent="0.4">
      <c r="A3" s="82" t="s">
        <v>320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</row>
    <row r="4" spans="1:32" s="218" customFormat="1" ht="16.5" customHeight="1" x14ac:dyDescent="0.35">
      <c r="B4" s="253" t="s">
        <v>321</v>
      </c>
      <c r="C4" s="254">
        <f>Energy!B9</f>
        <v>223653.31200000001</v>
      </c>
      <c r="D4" s="254">
        <f>Energy!C9</f>
        <v>222535.04544000002</v>
      </c>
      <c r="E4" s="254">
        <f>Energy!D9</f>
        <v>221422.37021280001</v>
      </c>
      <c r="F4" s="254">
        <f>Energy!E9</f>
        <v>220315.25836173602</v>
      </c>
      <c r="G4" s="254">
        <f>Energy!F9</f>
        <v>219213.68206992734</v>
      </c>
      <c r="H4" s="254">
        <f>Energy!G9</f>
        <v>218117.61365957771</v>
      </c>
      <c r="I4" s="254">
        <f>Energy!H9</f>
        <v>217027.02559127982</v>
      </c>
      <c r="J4" s="254">
        <f>Energy!I9</f>
        <v>215941.89046332339</v>
      </c>
      <c r="K4" s="254">
        <f>Energy!J9</f>
        <v>214862.18101100679</v>
      </c>
      <c r="L4" s="254">
        <f>Energy!K9</f>
        <v>213787.87010595176</v>
      </c>
      <c r="M4" s="254">
        <f>Energy!L9</f>
        <v>212718.93075542198</v>
      </c>
      <c r="N4" s="254">
        <f>Energy!M9</f>
        <v>211655.33610164491</v>
      </c>
      <c r="O4" s="254">
        <f>Energy!N9</f>
        <v>210597.05942113668</v>
      </c>
      <c r="P4" s="254">
        <f>Energy!O9</f>
        <v>209544.07412403103</v>
      </c>
      <c r="Q4" s="254">
        <f>Energy!P9</f>
        <v>208496.35375341083</v>
      </c>
      <c r="R4" s="254">
        <f>Energy!Q9</f>
        <v>207453.87198464377</v>
      </c>
      <c r="S4" s="254">
        <f>Energy!R9</f>
        <v>206416.60262472057</v>
      </c>
      <c r="T4" s="254">
        <f>Energy!S9</f>
        <v>205384.51961159697</v>
      </c>
      <c r="U4" s="254">
        <f>Energy!T9</f>
        <v>204357.59701353897</v>
      </c>
      <c r="V4" s="254">
        <f>Energy!U9</f>
        <v>203335.80902847127</v>
      </c>
      <c r="W4" s="254">
        <f>Energy!V9</f>
        <v>202319.12998332892</v>
      </c>
      <c r="X4" s="254">
        <f>Energy!W9</f>
        <v>201307.53433341227</v>
      </c>
      <c r="Y4" s="254">
        <f>Energy!X9</f>
        <v>200300.99666174524</v>
      </c>
      <c r="Z4" s="254">
        <f>Energy!Y9</f>
        <v>199299.49167843649</v>
      </c>
      <c r="AA4" s="254">
        <f>Energy!Z9</f>
        <v>198302.99422004432</v>
      </c>
      <c r="AB4" s="254">
        <f>Energy!AA9</f>
        <v>197311.47924894412</v>
      </c>
      <c r="AC4" s="254">
        <f>Energy!AB9</f>
        <v>196324.92185269939</v>
      </c>
      <c r="AD4" s="254">
        <f>Energy!AC9</f>
        <v>195343.29724343587</v>
      </c>
      <c r="AE4" s="254">
        <f>Energy!AD9</f>
        <v>194366.58075721873</v>
      </c>
      <c r="AF4" s="291">
        <f>Energy!AE9</f>
        <v>193394.74785343267</v>
      </c>
    </row>
    <row r="5" spans="1:32" s="218" customFormat="1" ht="16.5" customHeight="1" x14ac:dyDescent="0.35">
      <c r="B5" s="251" t="s">
        <v>322</v>
      </c>
      <c r="C5" s="292">
        <f>Inputs!$D$30</f>
        <v>50</v>
      </c>
      <c r="D5" s="292">
        <f>Inputs!$D$30</f>
        <v>50</v>
      </c>
      <c r="E5" s="292">
        <f>Inputs!$D$30</f>
        <v>50</v>
      </c>
      <c r="F5" s="292">
        <f>Inputs!$D$30</f>
        <v>50</v>
      </c>
      <c r="G5" s="292">
        <f>Inputs!$D$30</f>
        <v>50</v>
      </c>
      <c r="H5" s="292">
        <f>Inputs!$D$30</f>
        <v>50</v>
      </c>
      <c r="I5" s="292">
        <f>Inputs!$D$30</f>
        <v>50</v>
      </c>
      <c r="J5" s="292">
        <f>Inputs!$D$30</f>
        <v>50</v>
      </c>
      <c r="K5" s="292">
        <f>Inputs!$D$30</f>
        <v>50</v>
      </c>
      <c r="L5" s="292">
        <f>Inputs!$D$30</f>
        <v>50</v>
      </c>
      <c r="M5" s="292">
        <f>Inputs!$D$30</f>
        <v>50</v>
      </c>
      <c r="N5" s="292">
        <f>Inputs!$D$30</f>
        <v>50</v>
      </c>
      <c r="O5" s="292">
        <f>Inputs!$D$30</f>
        <v>50</v>
      </c>
      <c r="P5" s="292">
        <f>Inputs!$D$30</f>
        <v>50</v>
      </c>
      <c r="Q5" s="292">
        <f>Inputs!$D$30</f>
        <v>50</v>
      </c>
      <c r="R5" s="292">
        <f>Inputs!$D$30</f>
        <v>50</v>
      </c>
      <c r="S5" s="292">
        <f>Inputs!$D$30</f>
        <v>50</v>
      </c>
      <c r="T5" s="292">
        <f>Inputs!$D$30</f>
        <v>50</v>
      </c>
      <c r="U5" s="292">
        <f>Inputs!$D$30</f>
        <v>50</v>
      </c>
      <c r="V5" s="292">
        <f>Inputs!$D$30</f>
        <v>50</v>
      </c>
      <c r="W5" s="292">
        <f>Inputs!$D$30</f>
        <v>50</v>
      </c>
      <c r="X5" s="292">
        <f>Inputs!$D$30</f>
        <v>50</v>
      </c>
      <c r="Y5" s="292">
        <f>Inputs!$D$30</f>
        <v>50</v>
      </c>
      <c r="Z5" s="292">
        <f>Inputs!$D$30</f>
        <v>50</v>
      </c>
      <c r="AA5" s="292">
        <f>Inputs!$D$30</f>
        <v>50</v>
      </c>
      <c r="AB5" s="292">
        <f>Inputs!$D$30</f>
        <v>50</v>
      </c>
      <c r="AC5" s="292">
        <f>Inputs!$D$30</f>
        <v>50</v>
      </c>
      <c r="AD5" s="292">
        <f>Inputs!$D$30</f>
        <v>50</v>
      </c>
      <c r="AE5" s="292">
        <f>Inputs!$D$30</f>
        <v>50</v>
      </c>
      <c r="AF5" s="293">
        <f>Inputs!$D$30</f>
        <v>50</v>
      </c>
    </row>
    <row r="6" spans="1:32" s="218" customFormat="1" ht="16.5" customHeight="1" x14ac:dyDescent="0.35">
      <c r="B6" s="253" t="s">
        <v>323</v>
      </c>
      <c r="C6" s="264">
        <f>(1+Inputs!$D$31)^(Revenue!C2-1)</f>
        <v>1</v>
      </c>
      <c r="D6" s="264">
        <f>(1+Inputs!$D$31)^(Revenue!D2-1)</f>
        <v>1.01</v>
      </c>
      <c r="E6" s="264">
        <f>(1+Inputs!$D$31)^(Revenue!E2-1)</f>
        <v>1.0201</v>
      </c>
      <c r="F6" s="264">
        <f>(1+Inputs!$D$31)^(Revenue!F2-1)</f>
        <v>1.0303009999999999</v>
      </c>
      <c r="G6" s="264">
        <f>(1+Inputs!$D$31)^(Revenue!G2-1)</f>
        <v>1.04060401</v>
      </c>
      <c r="H6" s="264">
        <f>(1+Inputs!$D$31)^(Revenue!H2-1)</f>
        <v>1.0510100500999999</v>
      </c>
      <c r="I6" s="264">
        <f>(1+Inputs!$D$31)^(Revenue!I2-1)</f>
        <v>1.0615201506010001</v>
      </c>
      <c r="J6" s="264">
        <f>(1+Inputs!$D$31)^(Revenue!J2-1)</f>
        <v>1.0721353521070098</v>
      </c>
      <c r="K6" s="264">
        <f>(1+Inputs!$D$31)^(Revenue!K2-1)</f>
        <v>1.0828567056280802</v>
      </c>
      <c r="L6" s="264">
        <f>(1+Inputs!$D$31)^(Revenue!L2-1)</f>
        <v>1.0936852726843611</v>
      </c>
      <c r="M6" s="264">
        <f>(1+Inputs!$D$31)^(Revenue!M2-1)</f>
        <v>1.1046221254112047</v>
      </c>
      <c r="N6" s="264">
        <f>(1+Inputs!$D$31)^(Revenue!N2-1)</f>
        <v>1.1156683466653166</v>
      </c>
      <c r="O6" s="264">
        <f>(1+Inputs!$D$31)^(Revenue!O2-1)</f>
        <v>1.1268250301319698</v>
      </c>
      <c r="P6" s="264">
        <f>(1+Inputs!$D$31)^(Revenue!P2-1)</f>
        <v>1.1380932804332895</v>
      </c>
      <c r="Q6" s="264">
        <f>(1+Inputs!$D$31)^(Revenue!Q2-1)</f>
        <v>1.1494742132376226</v>
      </c>
      <c r="R6" s="264">
        <f>(1+Inputs!$D$31)^(Revenue!R2-1)</f>
        <v>1.1609689553699984</v>
      </c>
      <c r="S6" s="264">
        <f>(1+Inputs!$D$31)^(Revenue!S2-1)</f>
        <v>1.1725786449236988</v>
      </c>
      <c r="T6" s="264">
        <f>(1+Inputs!$D$31)^(Revenue!T2-1)</f>
        <v>1.1843044313729358</v>
      </c>
      <c r="U6" s="264">
        <f>(1+Inputs!$D$31)^(Revenue!U2-1)</f>
        <v>1.1961474756866652</v>
      </c>
      <c r="V6" s="264">
        <f>(1+Inputs!$D$31)^(Revenue!V2-1)</f>
        <v>1.2081089504435316</v>
      </c>
      <c r="W6" s="264">
        <f>(1+Inputs!$D$31)^(Revenue!W2-1)</f>
        <v>1.220190039947967</v>
      </c>
      <c r="X6" s="264">
        <f>(1+Inputs!$D$31)^(Revenue!X2-1)</f>
        <v>1.2323919403474466</v>
      </c>
      <c r="Y6" s="264">
        <f>(1+Inputs!$D$31)^(Revenue!Y2-1)</f>
        <v>1.2447158597509214</v>
      </c>
      <c r="Z6" s="264">
        <f>(1+Inputs!$D$31)^(Revenue!Z2-1)</f>
        <v>1.2571630183484304</v>
      </c>
      <c r="AA6" s="264">
        <f>(1+Inputs!$D$31)^(Revenue!AA2-1)</f>
        <v>1.269734648531915</v>
      </c>
      <c r="AB6" s="264">
        <f>(1+Inputs!$D$31)^(Revenue!AB2-1)</f>
        <v>1.2824319950172343</v>
      </c>
      <c r="AC6" s="264">
        <f>(1+Inputs!$D$31)^(Revenue!AC2-1)</f>
        <v>1.2952563149674066</v>
      </c>
      <c r="AD6" s="264">
        <f>(1+Inputs!$D$31)^(Revenue!AD2-1)</f>
        <v>1.3082088781170802</v>
      </c>
      <c r="AE6" s="264">
        <f>(1+Inputs!$D$31)^(Revenue!AE2-1)</f>
        <v>1.3212909668982511</v>
      </c>
      <c r="AF6" s="265">
        <f>(1+Inputs!$D$31)^(Revenue!AF2-1)</f>
        <v>1.3345038765672337</v>
      </c>
    </row>
    <row r="7" spans="1:32" s="218" customFormat="1" ht="16.5" customHeight="1" x14ac:dyDescent="0.35">
      <c r="B7" s="251" t="s">
        <v>324</v>
      </c>
      <c r="C7" s="292">
        <f t="shared" ref="C7:AF7" si="0">C5*C6</f>
        <v>50</v>
      </c>
      <c r="D7" s="292">
        <f t="shared" si="0"/>
        <v>50.5</v>
      </c>
      <c r="E7" s="292">
        <f t="shared" si="0"/>
        <v>51.005000000000003</v>
      </c>
      <c r="F7" s="292">
        <f t="shared" si="0"/>
        <v>51.515049999999995</v>
      </c>
      <c r="G7" s="292">
        <f t="shared" si="0"/>
        <v>52.030200499999999</v>
      </c>
      <c r="H7" s="292">
        <f t="shared" si="0"/>
        <v>52.550502504999997</v>
      </c>
      <c r="I7" s="292">
        <f t="shared" si="0"/>
        <v>53.076007530050006</v>
      </c>
      <c r="J7" s="292">
        <f t="shared" si="0"/>
        <v>53.606767605350491</v>
      </c>
      <c r="K7" s="292">
        <f t="shared" si="0"/>
        <v>54.142835281404011</v>
      </c>
      <c r="L7" s="292">
        <f t="shared" si="0"/>
        <v>54.684263634218055</v>
      </c>
      <c r="M7" s="292">
        <f t="shared" si="0"/>
        <v>55.23110627056024</v>
      </c>
      <c r="N7" s="292">
        <f t="shared" si="0"/>
        <v>55.783417333265831</v>
      </c>
      <c r="O7" s="292">
        <f t="shared" si="0"/>
        <v>56.341251506598489</v>
      </c>
      <c r="P7" s="292">
        <f t="shared" si="0"/>
        <v>56.904664021664473</v>
      </c>
      <c r="Q7" s="292">
        <f t="shared" si="0"/>
        <v>57.473710661881128</v>
      </c>
      <c r="R7" s="292">
        <f t="shared" si="0"/>
        <v>58.048447768499919</v>
      </c>
      <c r="S7" s="292">
        <f t="shared" si="0"/>
        <v>58.628932246184938</v>
      </c>
      <c r="T7" s="292">
        <f t="shared" si="0"/>
        <v>59.21522156864679</v>
      </c>
      <c r="U7" s="292">
        <f t="shared" si="0"/>
        <v>59.807373784333265</v>
      </c>
      <c r="V7" s="292">
        <f t="shared" si="0"/>
        <v>60.40544752217658</v>
      </c>
      <c r="W7" s="292">
        <f t="shared" si="0"/>
        <v>61.009501997398353</v>
      </c>
      <c r="X7" s="292">
        <f t="shared" si="0"/>
        <v>61.619597017372328</v>
      </c>
      <c r="Y7" s="292">
        <f t="shared" si="0"/>
        <v>62.23579298754607</v>
      </c>
      <c r="Z7" s="292">
        <f t="shared" si="0"/>
        <v>62.858150917421518</v>
      </c>
      <c r="AA7" s="292">
        <f t="shared" si="0"/>
        <v>63.486732426595751</v>
      </c>
      <c r="AB7" s="292">
        <f t="shared" si="0"/>
        <v>64.121599750861719</v>
      </c>
      <c r="AC7" s="292">
        <f t="shared" si="0"/>
        <v>64.762815748370329</v>
      </c>
      <c r="AD7" s="292">
        <f t="shared" si="0"/>
        <v>65.410443905854009</v>
      </c>
      <c r="AE7" s="292">
        <f t="shared" si="0"/>
        <v>66.064548344912552</v>
      </c>
      <c r="AF7" s="293">
        <f t="shared" si="0"/>
        <v>66.725193828361682</v>
      </c>
    </row>
    <row r="8" spans="1:32" s="218" customFormat="1" ht="16.5" customHeight="1" x14ac:dyDescent="0.35">
      <c r="B8" s="253" t="s">
        <v>325</v>
      </c>
      <c r="C8" s="270">
        <f>Inputs!$D$33</f>
        <v>35</v>
      </c>
      <c r="D8" s="270">
        <f>Inputs!$D$33</f>
        <v>35</v>
      </c>
      <c r="E8" s="270">
        <f>Inputs!$D$33</f>
        <v>35</v>
      </c>
      <c r="F8" s="270">
        <f>Inputs!$D$33</f>
        <v>35</v>
      </c>
      <c r="G8" s="270">
        <f>Inputs!$D$33</f>
        <v>35</v>
      </c>
      <c r="H8" s="270">
        <f>Inputs!$D$33</f>
        <v>35</v>
      </c>
      <c r="I8" s="270">
        <f>Inputs!$D$33</f>
        <v>35</v>
      </c>
      <c r="J8" s="270">
        <f>Inputs!$D$33</f>
        <v>35</v>
      </c>
      <c r="K8" s="270">
        <f>Inputs!$D$33</f>
        <v>35</v>
      </c>
      <c r="L8" s="270">
        <f>Inputs!$D$33</f>
        <v>35</v>
      </c>
      <c r="M8" s="270">
        <f>Inputs!$D$33</f>
        <v>35</v>
      </c>
      <c r="N8" s="270">
        <f>Inputs!$D$33</f>
        <v>35</v>
      </c>
      <c r="O8" s="270">
        <f>Inputs!$D$33</f>
        <v>35</v>
      </c>
      <c r="P8" s="270">
        <f>Inputs!$D$33</f>
        <v>35</v>
      </c>
      <c r="Q8" s="270">
        <f>Inputs!$D$33</f>
        <v>35</v>
      </c>
      <c r="R8" s="270">
        <f>Inputs!$D$33</f>
        <v>35</v>
      </c>
      <c r="S8" s="270">
        <f>Inputs!$D$33</f>
        <v>35</v>
      </c>
      <c r="T8" s="270">
        <f>Inputs!$D$33</f>
        <v>35</v>
      </c>
      <c r="U8" s="270">
        <f>Inputs!$D$33</f>
        <v>35</v>
      </c>
      <c r="V8" s="270">
        <f>Inputs!$D$33</f>
        <v>35</v>
      </c>
      <c r="W8" s="270">
        <f>Inputs!$D$33</f>
        <v>35</v>
      </c>
      <c r="X8" s="270">
        <f>Inputs!$D$33</f>
        <v>35</v>
      </c>
      <c r="Y8" s="270">
        <f>Inputs!$D$33</f>
        <v>35</v>
      </c>
      <c r="Z8" s="270">
        <f>Inputs!$D$33</f>
        <v>35</v>
      </c>
      <c r="AA8" s="270">
        <f>Inputs!$D$33</f>
        <v>35</v>
      </c>
      <c r="AB8" s="270">
        <f>Inputs!$D$33</f>
        <v>35</v>
      </c>
      <c r="AC8" s="270">
        <f>Inputs!$D$33</f>
        <v>35</v>
      </c>
      <c r="AD8" s="270">
        <f>Inputs!$D$33</f>
        <v>35</v>
      </c>
      <c r="AE8" s="270">
        <f>Inputs!$D$33</f>
        <v>35</v>
      </c>
      <c r="AF8" s="294">
        <f>Inputs!$D$33</f>
        <v>35</v>
      </c>
    </row>
    <row r="9" spans="1:32" s="218" customFormat="1" ht="16.5" customHeight="1" x14ac:dyDescent="0.35">
      <c r="B9" s="251" t="s">
        <v>326</v>
      </c>
      <c r="C9" s="252" t="str">
        <f>IF(C2&lt;=Inputs!$D$32,"PPA","Merchant")</f>
        <v>PPA</v>
      </c>
      <c r="D9" s="252" t="str">
        <f>IF(D2&lt;=Inputs!$D$32,"PPA","Merchant")</f>
        <v>PPA</v>
      </c>
      <c r="E9" s="252" t="str">
        <f>IF(E2&lt;=Inputs!$D$32,"PPA","Merchant")</f>
        <v>PPA</v>
      </c>
      <c r="F9" s="252" t="str">
        <f>IF(F2&lt;=Inputs!$D$32,"PPA","Merchant")</f>
        <v>PPA</v>
      </c>
      <c r="G9" s="252" t="str">
        <f>IF(G2&lt;=Inputs!$D$32,"PPA","Merchant")</f>
        <v>PPA</v>
      </c>
      <c r="H9" s="252" t="str">
        <f>IF(H2&lt;=Inputs!$D$32,"PPA","Merchant")</f>
        <v>PPA</v>
      </c>
      <c r="I9" s="252" t="str">
        <f>IF(I2&lt;=Inputs!$D$32,"PPA","Merchant")</f>
        <v>PPA</v>
      </c>
      <c r="J9" s="252" t="str">
        <f>IF(J2&lt;=Inputs!$D$32,"PPA","Merchant")</f>
        <v>PPA</v>
      </c>
      <c r="K9" s="252" t="str">
        <f>IF(K2&lt;=Inputs!$D$32,"PPA","Merchant")</f>
        <v>PPA</v>
      </c>
      <c r="L9" s="252" t="str">
        <f>IF(L2&lt;=Inputs!$D$32,"PPA","Merchant")</f>
        <v>PPA</v>
      </c>
      <c r="M9" s="252" t="str">
        <f>IF(M2&lt;=Inputs!$D$32,"PPA","Merchant")</f>
        <v>PPA</v>
      </c>
      <c r="N9" s="252" t="str">
        <f>IF(N2&lt;=Inputs!$D$32,"PPA","Merchant")</f>
        <v>PPA</v>
      </c>
      <c r="O9" s="252" t="str">
        <f>IF(O2&lt;=Inputs!$D$32,"PPA","Merchant")</f>
        <v>PPA</v>
      </c>
      <c r="P9" s="252" t="str">
        <f>IF(P2&lt;=Inputs!$D$32,"PPA","Merchant")</f>
        <v>PPA</v>
      </c>
      <c r="Q9" s="252" t="str">
        <f>IF(Q2&lt;=Inputs!$D$32,"PPA","Merchant")</f>
        <v>PPA</v>
      </c>
      <c r="R9" s="252" t="str">
        <f>IF(R2&lt;=Inputs!$D$32,"PPA","Merchant")</f>
        <v>PPA</v>
      </c>
      <c r="S9" s="252" t="str">
        <f>IF(S2&lt;=Inputs!$D$32,"PPA","Merchant")</f>
        <v>PPA</v>
      </c>
      <c r="T9" s="252" t="str">
        <f>IF(T2&lt;=Inputs!$D$32,"PPA","Merchant")</f>
        <v>PPA</v>
      </c>
      <c r="U9" s="252" t="str">
        <f>IF(U2&lt;=Inputs!$D$32,"PPA","Merchant")</f>
        <v>PPA</v>
      </c>
      <c r="V9" s="252" t="str">
        <f>IF(V2&lt;=Inputs!$D$32,"PPA","Merchant")</f>
        <v>PPA</v>
      </c>
      <c r="W9" s="252" t="str">
        <f>IF(W2&lt;=Inputs!$D$32,"PPA","Merchant")</f>
        <v>Merchant</v>
      </c>
      <c r="X9" s="252" t="str">
        <f>IF(X2&lt;=Inputs!$D$32,"PPA","Merchant")</f>
        <v>Merchant</v>
      </c>
      <c r="Y9" s="252" t="str">
        <f>IF(Y2&lt;=Inputs!$D$32,"PPA","Merchant")</f>
        <v>Merchant</v>
      </c>
      <c r="Z9" s="252" t="str">
        <f>IF(Z2&lt;=Inputs!$D$32,"PPA","Merchant")</f>
        <v>Merchant</v>
      </c>
      <c r="AA9" s="252" t="str">
        <f>IF(AA2&lt;=Inputs!$D$32,"PPA","Merchant")</f>
        <v>Merchant</v>
      </c>
      <c r="AB9" s="252" t="str">
        <f>IF(AB2&lt;=Inputs!$D$32,"PPA","Merchant")</f>
        <v>Merchant</v>
      </c>
      <c r="AC9" s="252" t="str">
        <f>IF(AC2&lt;=Inputs!$D$32,"PPA","Merchant")</f>
        <v>Merchant</v>
      </c>
      <c r="AD9" s="252" t="str">
        <f>IF(AD2&lt;=Inputs!$D$32,"PPA","Merchant")</f>
        <v>Merchant</v>
      </c>
      <c r="AE9" s="252" t="str">
        <f>IF(AE2&lt;=Inputs!$D$32,"PPA","Merchant")</f>
        <v>Merchant</v>
      </c>
      <c r="AF9" s="295" t="str">
        <f>IF(AF2&lt;=Inputs!$D$32,"PPA","Merchant")</f>
        <v>Merchant</v>
      </c>
    </row>
    <row r="10" spans="1:32" s="218" customFormat="1" ht="16.5" customHeight="1" x14ac:dyDescent="0.35">
      <c r="B10" s="253" t="s">
        <v>327</v>
      </c>
      <c r="C10" s="270">
        <f>IF(Revenue!C2&lt;=Inputs!$D$32,Revenue!C7,Revenue!C8)</f>
        <v>50</v>
      </c>
      <c r="D10" s="270">
        <f>IF(Revenue!D2&lt;=Inputs!$D$32,Revenue!D7,Revenue!D8)</f>
        <v>50.5</v>
      </c>
      <c r="E10" s="270">
        <f>IF(Revenue!E2&lt;=Inputs!$D$32,Revenue!E7,Revenue!E8)</f>
        <v>51.005000000000003</v>
      </c>
      <c r="F10" s="270">
        <f>IF(Revenue!F2&lt;=Inputs!$D$32,Revenue!F7,Revenue!F8)</f>
        <v>51.515049999999995</v>
      </c>
      <c r="G10" s="270">
        <f>IF(Revenue!G2&lt;=Inputs!$D$32,Revenue!G7,Revenue!G8)</f>
        <v>52.030200499999999</v>
      </c>
      <c r="H10" s="270">
        <f>IF(Revenue!H2&lt;=Inputs!$D$32,Revenue!H7,Revenue!H8)</f>
        <v>52.550502504999997</v>
      </c>
      <c r="I10" s="270">
        <f>IF(Revenue!I2&lt;=Inputs!$D$32,Revenue!I7,Revenue!I8)</f>
        <v>53.076007530050006</v>
      </c>
      <c r="J10" s="270">
        <f>IF(Revenue!J2&lt;=Inputs!$D$32,Revenue!J7,Revenue!J8)</f>
        <v>53.606767605350491</v>
      </c>
      <c r="K10" s="270">
        <f>IF(Revenue!K2&lt;=Inputs!$D$32,Revenue!K7,Revenue!K8)</f>
        <v>54.142835281404011</v>
      </c>
      <c r="L10" s="270">
        <f>IF(Revenue!L2&lt;=Inputs!$D$32,Revenue!L7,Revenue!L8)</f>
        <v>54.684263634218055</v>
      </c>
      <c r="M10" s="270">
        <f>IF(Revenue!M2&lt;=Inputs!$D$32,Revenue!M7,Revenue!M8)</f>
        <v>55.23110627056024</v>
      </c>
      <c r="N10" s="270">
        <f>IF(Revenue!N2&lt;=Inputs!$D$32,Revenue!N7,Revenue!N8)</f>
        <v>55.783417333265831</v>
      </c>
      <c r="O10" s="270">
        <f>IF(Revenue!O2&lt;=Inputs!$D$32,Revenue!O7,Revenue!O8)</f>
        <v>56.341251506598489</v>
      </c>
      <c r="P10" s="270">
        <f>IF(Revenue!P2&lt;=Inputs!$D$32,Revenue!P7,Revenue!P8)</f>
        <v>56.904664021664473</v>
      </c>
      <c r="Q10" s="270">
        <f>IF(Revenue!Q2&lt;=Inputs!$D$32,Revenue!Q7,Revenue!Q8)</f>
        <v>57.473710661881128</v>
      </c>
      <c r="R10" s="270">
        <f>IF(Revenue!R2&lt;=Inputs!$D$32,Revenue!R7,Revenue!R8)</f>
        <v>58.048447768499919</v>
      </c>
      <c r="S10" s="270">
        <f>IF(Revenue!S2&lt;=Inputs!$D$32,Revenue!S7,Revenue!S8)</f>
        <v>58.628932246184938</v>
      </c>
      <c r="T10" s="270">
        <f>IF(Revenue!T2&lt;=Inputs!$D$32,Revenue!T7,Revenue!T8)</f>
        <v>59.21522156864679</v>
      </c>
      <c r="U10" s="270">
        <f>IF(Revenue!U2&lt;=Inputs!$D$32,Revenue!U7,Revenue!U8)</f>
        <v>59.807373784333265</v>
      </c>
      <c r="V10" s="270">
        <f>IF(Revenue!V2&lt;=Inputs!$D$32,Revenue!V7,Revenue!V8)</f>
        <v>60.40544752217658</v>
      </c>
      <c r="W10" s="270">
        <f>IF(Revenue!W2&lt;=Inputs!$D$32,Revenue!W7,Revenue!W8)</f>
        <v>35</v>
      </c>
      <c r="X10" s="270">
        <f>IF(Revenue!X2&lt;=Inputs!$D$32,Revenue!X7,Revenue!X8)</f>
        <v>35</v>
      </c>
      <c r="Y10" s="270">
        <f>IF(Revenue!Y2&lt;=Inputs!$D$32,Revenue!Y7,Revenue!Y8)</f>
        <v>35</v>
      </c>
      <c r="Z10" s="270">
        <f>IF(Revenue!Z2&lt;=Inputs!$D$32,Revenue!Z7,Revenue!Z8)</f>
        <v>35</v>
      </c>
      <c r="AA10" s="270">
        <f>IF(Revenue!AA2&lt;=Inputs!$D$32,Revenue!AA7,Revenue!AA8)</f>
        <v>35</v>
      </c>
      <c r="AB10" s="270">
        <f>IF(Revenue!AB2&lt;=Inputs!$D$32,Revenue!AB7,Revenue!AB8)</f>
        <v>35</v>
      </c>
      <c r="AC10" s="270">
        <f>IF(Revenue!AC2&lt;=Inputs!$D$32,Revenue!AC7,Revenue!AC8)</f>
        <v>35</v>
      </c>
      <c r="AD10" s="270">
        <f>IF(Revenue!AD2&lt;=Inputs!$D$32,Revenue!AD7,Revenue!AD8)</f>
        <v>35</v>
      </c>
      <c r="AE10" s="270">
        <f>IF(Revenue!AE2&lt;=Inputs!$D$32,Revenue!AE7,Revenue!AE8)</f>
        <v>35</v>
      </c>
      <c r="AF10" s="294">
        <f>IF(Revenue!AF2&lt;=Inputs!$D$32,Revenue!AF7,Revenue!AF8)</f>
        <v>35</v>
      </c>
    </row>
    <row r="11" spans="1:32" s="218" customFormat="1" ht="18" customHeight="1" x14ac:dyDescent="0.35">
      <c r="B11" s="259" t="s">
        <v>328</v>
      </c>
      <c r="C11" s="273">
        <f t="shared" ref="C11:AF11" si="1">C10*C4</f>
        <v>11182665.6</v>
      </c>
      <c r="D11" s="273">
        <f t="shared" si="1"/>
        <v>11238019.794720002</v>
      </c>
      <c r="E11" s="273">
        <f t="shared" si="1"/>
        <v>11293647.992703866</v>
      </c>
      <c r="F11" s="273">
        <f t="shared" si="1"/>
        <v>11349551.550267749</v>
      </c>
      <c r="G11" s="273">
        <f t="shared" si="1"/>
        <v>11405731.830441574</v>
      </c>
      <c r="H11" s="273">
        <f t="shared" si="1"/>
        <v>11462190.203002259</v>
      </c>
      <c r="I11" s="273">
        <f t="shared" si="1"/>
        <v>11518928.044507124</v>
      </c>
      <c r="J11" s="273">
        <f t="shared" si="1"/>
        <v>11575946.738327429</v>
      </c>
      <c r="K11" s="273">
        <f t="shared" si="1"/>
        <v>11633247.674682153</v>
      </c>
      <c r="L11" s="273">
        <f t="shared" si="1"/>
        <v>11690832.250671832</v>
      </c>
      <c r="M11" s="273">
        <f t="shared" si="1"/>
        <v>11748701.870312657</v>
      </c>
      <c r="N11" s="273">
        <f t="shared" si="1"/>
        <v>11806857.944570703</v>
      </c>
      <c r="O11" s="273">
        <f t="shared" si="1"/>
        <v>11865301.891396329</v>
      </c>
      <c r="P11" s="273">
        <f t="shared" si="1"/>
        <v>11924035.135758743</v>
      </c>
      <c r="Q11" s="273">
        <f t="shared" si="1"/>
        <v>11983059.109680748</v>
      </c>
      <c r="R11" s="273">
        <f t="shared" si="1"/>
        <v>12042375.252273662</v>
      </c>
      <c r="S11" s="273">
        <f t="shared" si="1"/>
        <v>12101985.009772422</v>
      </c>
      <c r="T11" s="273">
        <f t="shared" si="1"/>
        <v>12161889.835570797</v>
      </c>
      <c r="U11" s="273">
        <f t="shared" si="1"/>
        <v>12222091.190256873</v>
      </c>
      <c r="V11" s="273">
        <f t="shared" si="1"/>
        <v>12282590.541648639</v>
      </c>
      <c r="W11" s="273">
        <f t="shared" si="1"/>
        <v>7081169.5494165123</v>
      </c>
      <c r="X11" s="273">
        <f t="shared" si="1"/>
        <v>7045763.7016694294</v>
      </c>
      <c r="Y11" s="273">
        <f t="shared" si="1"/>
        <v>7010534.8831610838</v>
      </c>
      <c r="Z11" s="273">
        <f t="shared" si="1"/>
        <v>6975482.2087452775</v>
      </c>
      <c r="AA11" s="273">
        <f t="shared" si="1"/>
        <v>6940604.7977015516</v>
      </c>
      <c r="AB11" s="273">
        <f t="shared" si="1"/>
        <v>6905901.7737130439</v>
      </c>
      <c r="AC11" s="273">
        <f t="shared" si="1"/>
        <v>6871372.264844479</v>
      </c>
      <c r="AD11" s="273">
        <f t="shared" si="1"/>
        <v>6837015.4035202553</v>
      </c>
      <c r="AE11" s="273">
        <f t="shared" si="1"/>
        <v>6802830.3265026556</v>
      </c>
      <c r="AF11" s="273">
        <f t="shared" si="1"/>
        <v>6768816.1748701436</v>
      </c>
    </row>
    <row r="12" spans="1:32" s="144" customFormat="1" ht="16.5" customHeight="1" x14ac:dyDescent="0.35">
      <c r="B12" s="145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</row>
    <row r="13" spans="1:32" s="165" customFormat="1" ht="16.5" customHeight="1" thickBot="1" x14ac:dyDescent="0.4">
      <c r="A13" s="82" t="s">
        <v>329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 spans="1:32" s="218" customFormat="1" ht="16.5" customHeight="1" x14ac:dyDescent="0.35">
      <c r="B14" s="253" t="s">
        <v>318</v>
      </c>
      <c r="C14" s="254">
        <f>Energy!B19</f>
        <v>80665</v>
      </c>
      <c r="D14" s="254">
        <f>Energy!C19</f>
        <v>78648.375</v>
      </c>
      <c r="E14" s="254">
        <f>Energy!D19</f>
        <v>76682.165624999994</v>
      </c>
      <c r="F14" s="254">
        <f>Energy!E19</f>
        <v>74765.111484374997</v>
      </c>
      <c r="G14" s="254">
        <f>Energy!F19</f>
        <v>72895.983697265605</v>
      </c>
      <c r="H14" s="254">
        <f>Energy!G19</f>
        <v>71073.584104833964</v>
      </c>
      <c r="I14" s="254">
        <f>Energy!H19</f>
        <v>69296.744502213129</v>
      </c>
      <c r="J14" s="254">
        <f>Energy!I19</f>
        <v>67564.32588965779</v>
      </c>
      <c r="K14" s="254">
        <f>Energy!J19</f>
        <v>65875.217742416338</v>
      </c>
      <c r="L14" s="254">
        <f>Energy!K19</f>
        <v>64228.337298855935</v>
      </c>
      <c r="M14" s="254">
        <f>Energy!L19</f>
        <v>62622.628866384526</v>
      </c>
      <c r="N14" s="254">
        <f>Energy!M19</f>
        <v>61057.063144724918</v>
      </c>
      <c r="O14" s="254">
        <f>Energy!N19</f>
        <v>59530.636566106798</v>
      </c>
      <c r="P14" s="254">
        <f>Energy!O19</f>
        <v>58042.370651954116</v>
      </c>
      <c r="Q14" s="254">
        <f>Energy!P19</f>
        <v>56591.311385655266</v>
      </c>
      <c r="R14" s="254">
        <f>Energy!Q19</f>
        <v>55176.528601013881</v>
      </c>
      <c r="S14" s="254">
        <f>Energy!R19</f>
        <v>53797.115385988538</v>
      </c>
      <c r="T14" s="254">
        <f>Energy!S19</f>
        <v>52452.18750133882</v>
      </c>
      <c r="U14" s="254">
        <f>Energy!T19</f>
        <v>51140.882813805343</v>
      </c>
      <c r="V14" s="254">
        <f>Energy!U19</f>
        <v>49862.360743460216</v>
      </c>
      <c r="W14" s="254">
        <f>Energy!V19</f>
        <v>48615.801724873709</v>
      </c>
      <c r="X14" s="254">
        <f>Energy!W19</f>
        <v>47400.406681751854</v>
      </c>
      <c r="Y14" s="254">
        <f>Energy!X19</f>
        <v>46215.396514708067</v>
      </c>
      <c r="Z14" s="254">
        <f>Energy!Y19</f>
        <v>45060.011601840357</v>
      </c>
      <c r="AA14" s="254">
        <f>Energy!Z19</f>
        <v>43933.511311794347</v>
      </c>
      <c r="AB14" s="254">
        <f>Energy!AA19</f>
        <v>42835.173528999498</v>
      </c>
      <c r="AC14" s="254">
        <f>Energy!AB19</f>
        <v>41764.294190774497</v>
      </c>
      <c r="AD14" s="254">
        <f>Energy!AC19</f>
        <v>40720.186836005138</v>
      </c>
      <c r="AE14" s="254">
        <f>Energy!AD19</f>
        <v>39702.182165105012</v>
      </c>
      <c r="AF14" s="291">
        <f>Energy!AE19</f>
        <v>38709.627610977383</v>
      </c>
    </row>
    <row r="15" spans="1:32" s="296" customFormat="1" ht="16.5" customHeight="1" x14ac:dyDescent="0.35">
      <c r="B15" s="297" t="s">
        <v>237</v>
      </c>
      <c r="C15" s="298">
        <f>Inputs!$D$39</f>
        <v>0.7</v>
      </c>
      <c r="D15" s="298">
        <f>Inputs!$D$39</f>
        <v>0.7</v>
      </c>
      <c r="E15" s="298">
        <f>Inputs!$D$39</f>
        <v>0.7</v>
      </c>
      <c r="F15" s="298">
        <f>Inputs!$D$39</f>
        <v>0.7</v>
      </c>
      <c r="G15" s="298">
        <f>Inputs!$D$39</f>
        <v>0.7</v>
      </c>
      <c r="H15" s="298">
        <f>Inputs!$D$39</f>
        <v>0.7</v>
      </c>
      <c r="I15" s="298">
        <f>Inputs!$D$39</f>
        <v>0.7</v>
      </c>
      <c r="J15" s="298">
        <f>Inputs!$D$39</f>
        <v>0.7</v>
      </c>
      <c r="K15" s="298">
        <f>Inputs!$D$39</f>
        <v>0.7</v>
      </c>
      <c r="L15" s="298">
        <f>Inputs!$D$39</f>
        <v>0.7</v>
      </c>
      <c r="M15" s="298">
        <f>Inputs!$D$39</f>
        <v>0.7</v>
      </c>
      <c r="N15" s="298">
        <f>Inputs!$D$39</f>
        <v>0.7</v>
      </c>
      <c r="O15" s="298">
        <f>Inputs!$D$39</f>
        <v>0.7</v>
      </c>
      <c r="P15" s="298">
        <f>Inputs!$D$39</f>
        <v>0.7</v>
      </c>
      <c r="Q15" s="298">
        <f>Inputs!$D$39</f>
        <v>0.7</v>
      </c>
      <c r="R15" s="298">
        <f>Inputs!$D$39</f>
        <v>0.7</v>
      </c>
      <c r="S15" s="298">
        <f>Inputs!$D$39</f>
        <v>0.7</v>
      </c>
      <c r="T15" s="298">
        <f>Inputs!$D$39</f>
        <v>0.7</v>
      </c>
      <c r="U15" s="298">
        <f>Inputs!$D$39</f>
        <v>0.7</v>
      </c>
      <c r="V15" s="298">
        <f>Inputs!$D$39</f>
        <v>0.7</v>
      </c>
      <c r="W15" s="298">
        <f>Inputs!$D$39</f>
        <v>0.7</v>
      </c>
      <c r="X15" s="298">
        <f>Inputs!$D$39</f>
        <v>0.7</v>
      </c>
      <c r="Y15" s="298">
        <f>Inputs!$D$39</f>
        <v>0.7</v>
      </c>
      <c r="Z15" s="298">
        <f>Inputs!$D$39</f>
        <v>0.7</v>
      </c>
      <c r="AA15" s="298">
        <f>Inputs!$D$39</f>
        <v>0.7</v>
      </c>
      <c r="AB15" s="298">
        <f>Inputs!$D$39</f>
        <v>0.7</v>
      </c>
      <c r="AC15" s="298">
        <f>Inputs!$D$39</f>
        <v>0.7</v>
      </c>
      <c r="AD15" s="298">
        <f>Inputs!$D$39</f>
        <v>0.7</v>
      </c>
      <c r="AE15" s="298">
        <f>Inputs!$D$39</f>
        <v>0.7</v>
      </c>
      <c r="AF15" s="299">
        <f>Inputs!$D$39</f>
        <v>0.7</v>
      </c>
    </row>
    <row r="16" spans="1:32" s="218" customFormat="1" ht="16.5" customHeight="1" x14ac:dyDescent="0.35">
      <c r="B16" s="253" t="s">
        <v>330</v>
      </c>
      <c r="C16" s="300">
        <f t="shared" ref="C16:AF16" si="2">C14*C15</f>
        <v>56465.5</v>
      </c>
      <c r="D16" s="300">
        <f t="shared" si="2"/>
        <v>55053.862499999996</v>
      </c>
      <c r="E16" s="300">
        <f t="shared" si="2"/>
        <v>53677.515937499993</v>
      </c>
      <c r="F16" s="300">
        <f t="shared" si="2"/>
        <v>52335.578039062493</v>
      </c>
      <c r="G16" s="300">
        <f t="shared" si="2"/>
        <v>51027.188588085919</v>
      </c>
      <c r="H16" s="300">
        <f t="shared" si="2"/>
        <v>49751.508873383769</v>
      </c>
      <c r="I16" s="300">
        <f t="shared" si="2"/>
        <v>48507.721151549187</v>
      </c>
      <c r="J16" s="300">
        <f t="shared" si="2"/>
        <v>47295.02812276045</v>
      </c>
      <c r="K16" s="300">
        <f t="shared" si="2"/>
        <v>46112.652419691432</v>
      </c>
      <c r="L16" s="300">
        <f t="shared" si="2"/>
        <v>44959.836109199154</v>
      </c>
      <c r="M16" s="300">
        <f t="shared" si="2"/>
        <v>43835.840206469169</v>
      </c>
      <c r="N16" s="300">
        <f t="shared" si="2"/>
        <v>42739.944201307437</v>
      </c>
      <c r="O16" s="300">
        <f t="shared" si="2"/>
        <v>41671.445596274752</v>
      </c>
      <c r="P16" s="300">
        <f t="shared" si="2"/>
        <v>40629.659456367881</v>
      </c>
      <c r="Q16" s="300">
        <f t="shared" si="2"/>
        <v>39613.917969958682</v>
      </c>
      <c r="R16" s="300">
        <f t="shared" si="2"/>
        <v>38623.570020709711</v>
      </c>
      <c r="S16" s="300">
        <f t="shared" si="2"/>
        <v>37657.980770191971</v>
      </c>
      <c r="T16" s="300">
        <f t="shared" si="2"/>
        <v>36716.531250937172</v>
      </c>
      <c r="U16" s="300">
        <f t="shared" si="2"/>
        <v>35798.617969663741</v>
      </c>
      <c r="V16" s="300">
        <f t="shared" si="2"/>
        <v>34903.652520422147</v>
      </c>
      <c r="W16" s="300">
        <f t="shared" si="2"/>
        <v>34031.061207411592</v>
      </c>
      <c r="X16" s="300">
        <f t="shared" si="2"/>
        <v>33180.284677226293</v>
      </c>
      <c r="Y16" s="300">
        <f t="shared" si="2"/>
        <v>32350.777560295646</v>
      </c>
      <c r="Z16" s="300">
        <f t="shared" si="2"/>
        <v>31542.008121288247</v>
      </c>
      <c r="AA16" s="300">
        <f t="shared" si="2"/>
        <v>30753.457918256041</v>
      </c>
      <c r="AB16" s="300">
        <f t="shared" si="2"/>
        <v>29984.621470299648</v>
      </c>
      <c r="AC16" s="300">
        <f t="shared" si="2"/>
        <v>29235.005933542147</v>
      </c>
      <c r="AD16" s="300">
        <f t="shared" si="2"/>
        <v>28504.130785203593</v>
      </c>
      <c r="AE16" s="300">
        <f t="shared" si="2"/>
        <v>27791.527515573507</v>
      </c>
      <c r="AF16" s="301">
        <f t="shared" si="2"/>
        <v>27096.739327684165</v>
      </c>
    </row>
    <row r="17" spans="1:32" s="218" customFormat="1" ht="16.5" customHeight="1" x14ac:dyDescent="0.35">
      <c r="B17" s="251" t="s">
        <v>331</v>
      </c>
      <c r="C17" s="292">
        <f>Inputs!$D$35</f>
        <v>65</v>
      </c>
      <c r="D17" s="292">
        <f>Inputs!$D$35</f>
        <v>65</v>
      </c>
      <c r="E17" s="292">
        <f>Inputs!$D$35</f>
        <v>65</v>
      </c>
      <c r="F17" s="292">
        <f>Inputs!$D$35</f>
        <v>65</v>
      </c>
      <c r="G17" s="292">
        <f>Inputs!$D$35</f>
        <v>65</v>
      </c>
      <c r="H17" s="292">
        <f>Inputs!$D$35</f>
        <v>65</v>
      </c>
      <c r="I17" s="292">
        <f>Inputs!$D$35</f>
        <v>65</v>
      </c>
      <c r="J17" s="292">
        <f>Inputs!$D$35</f>
        <v>65</v>
      </c>
      <c r="K17" s="292">
        <f>Inputs!$D$35</f>
        <v>65</v>
      </c>
      <c r="L17" s="292">
        <f>Inputs!$D$35</f>
        <v>65</v>
      </c>
      <c r="M17" s="292">
        <f>Inputs!$D$35</f>
        <v>65</v>
      </c>
      <c r="N17" s="292">
        <f>Inputs!$D$35</f>
        <v>65</v>
      </c>
      <c r="O17" s="292">
        <f>Inputs!$D$35</f>
        <v>65</v>
      </c>
      <c r="P17" s="292">
        <f>Inputs!$D$35</f>
        <v>65</v>
      </c>
      <c r="Q17" s="292">
        <f>Inputs!$D$35</f>
        <v>65</v>
      </c>
      <c r="R17" s="292">
        <f>Inputs!$D$35</f>
        <v>65</v>
      </c>
      <c r="S17" s="292">
        <f>Inputs!$D$35</f>
        <v>65</v>
      </c>
      <c r="T17" s="292">
        <f>Inputs!$D$35</f>
        <v>65</v>
      </c>
      <c r="U17" s="292">
        <f>Inputs!$D$35</f>
        <v>65</v>
      </c>
      <c r="V17" s="292">
        <f>Inputs!$D$35</f>
        <v>65</v>
      </c>
      <c r="W17" s="292">
        <f>Inputs!$D$35</f>
        <v>65</v>
      </c>
      <c r="X17" s="292">
        <f>Inputs!$D$35</f>
        <v>65</v>
      </c>
      <c r="Y17" s="292">
        <f>Inputs!$D$35</f>
        <v>65</v>
      </c>
      <c r="Z17" s="292">
        <f>Inputs!$D$35</f>
        <v>65</v>
      </c>
      <c r="AA17" s="292">
        <f>Inputs!$D$35</f>
        <v>65</v>
      </c>
      <c r="AB17" s="292">
        <f>Inputs!$D$35</f>
        <v>65</v>
      </c>
      <c r="AC17" s="292">
        <f>Inputs!$D$35</f>
        <v>65</v>
      </c>
      <c r="AD17" s="292">
        <f>Inputs!$D$35</f>
        <v>65</v>
      </c>
      <c r="AE17" s="292">
        <f>Inputs!$D$35</f>
        <v>65</v>
      </c>
      <c r="AF17" s="292">
        <f>Inputs!$D$35</f>
        <v>65</v>
      </c>
    </row>
    <row r="18" spans="1:32" s="218" customFormat="1" ht="16.5" customHeight="1" x14ac:dyDescent="0.35">
      <c r="B18" s="253" t="s">
        <v>332</v>
      </c>
      <c r="C18" s="302">
        <f>(1+Inputs!$D$36)^(Revenue!C2-1)</f>
        <v>1</v>
      </c>
      <c r="D18" s="302">
        <f>(1+Inputs!$D$36)^(Revenue!D2-1)</f>
        <v>1.0149999999999999</v>
      </c>
      <c r="E18" s="302">
        <f>(1+Inputs!$D$36)^(Revenue!E2-1)</f>
        <v>1.0302249999999997</v>
      </c>
      <c r="F18" s="302">
        <f>(1+Inputs!$D$36)^(Revenue!F2-1)</f>
        <v>1.0456783749999996</v>
      </c>
      <c r="G18" s="302">
        <f>(1+Inputs!$D$36)^(Revenue!G2-1)</f>
        <v>1.0613635506249994</v>
      </c>
      <c r="H18" s="302">
        <f>(1+Inputs!$D$36)^(Revenue!H2-1)</f>
        <v>1.0772840038843743</v>
      </c>
      <c r="I18" s="302">
        <f>(1+Inputs!$D$36)^(Revenue!I2-1)</f>
        <v>1.0934432639426397</v>
      </c>
      <c r="J18" s="302">
        <f>(1+Inputs!$D$36)^(Revenue!J2-1)</f>
        <v>1.1098449129017791</v>
      </c>
      <c r="K18" s="302">
        <f>(1+Inputs!$D$36)^(Revenue!K2-1)</f>
        <v>1.1264925865953057</v>
      </c>
      <c r="L18" s="302">
        <f>(1+Inputs!$D$36)^(Revenue!L2-1)</f>
        <v>1.1433899753942351</v>
      </c>
      <c r="M18" s="302">
        <f>(1+Inputs!$D$36)^(Revenue!M2-1)</f>
        <v>1.1605408250251485</v>
      </c>
      <c r="N18" s="302">
        <f>(1+Inputs!$D$36)^(Revenue!N2-1)</f>
        <v>1.1779489374005256</v>
      </c>
      <c r="O18" s="302">
        <f>(1+Inputs!$D$36)^(Revenue!O2-1)</f>
        <v>1.1956181714615333</v>
      </c>
      <c r="P18" s="302">
        <f>(1+Inputs!$D$36)^(Revenue!P2-1)</f>
        <v>1.2135524440334562</v>
      </c>
      <c r="Q18" s="302">
        <f>(1+Inputs!$D$36)^(Revenue!Q2-1)</f>
        <v>1.2317557306939577</v>
      </c>
      <c r="R18" s="302">
        <f>(1+Inputs!$D$36)^(Revenue!R2-1)</f>
        <v>1.2502320666543669</v>
      </c>
      <c r="S18" s="302">
        <f>(1+Inputs!$D$36)^(Revenue!S2-1)</f>
        <v>1.2689855476541823</v>
      </c>
      <c r="T18" s="302">
        <f>(1+Inputs!$D$36)^(Revenue!T2-1)</f>
        <v>1.2880203308689948</v>
      </c>
      <c r="U18" s="302">
        <f>(1+Inputs!$D$36)^(Revenue!U2-1)</f>
        <v>1.3073406358320296</v>
      </c>
      <c r="V18" s="302">
        <f>(1+Inputs!$D$36)^(Revenue!V2-1)</f>
        <v>1.32695074536951</v>
      </c>
      <c r="W18" s="302">
        <f>(1+Inputs!$D$36)^(Revenue!W2-1)</f>
        <v>1.3468550065500522</v>
      </c>
      <c r="X18" s="302">
        <f>(1+Inputs!$D$36)^(Revenue!X2-1)</f>
        <v>1.3670578316483029</v>
      </c>
      <c r="Y18" s="302">
        <f>(1+Inputs!$D$36)^(Revenue!Y2-1)</f>
        <v>1.3875636991230271</v>
      </c>
      <c r="Z18" s="302">
        <f>(1+Inputs!$D$36)^(Revenue!Z2-1)</f>
        <v>1.4083771546098725</v>
      </c>
      <c r="AA18" s="302">
        <f>(1+Inputs!$D$36)^(Revenue!AA2-1)</f>
        <v>1.4295028119290203</v>
      </c>
      <c r="AB18" s="302">
        <f>(1+Inputs!$D$36)^(Revenue!AB2-1)</f>
        <v>1.4509453541079556</v>
      </c>
      <c r="AC18" s="302">
        <f>(1+Inputs!$D$36)^(Revenue!AC2-1)</f>
        <v>1.4727095344195746</v>
      </c>
      <c r="AD18" s="302">
        <f>(1+Inputs!$D$36)^(Revenue!AD2-1)</f>
        <v>1.4948001774358681</v>
      </c>
      <c r="AE18" s="302">
        <f>(1+Inputs!$D$36)^(Revenue!AE2-1)</f>
        <v>1.5172221800974057</v>
      </c>
      <c r="AF18" s="303">
        <f>(1+Inputs!$D$36)^(Revenue!AF2-1)</f>
        <v>1.5399805127988668</v>
      </c>
    </row>
    <row r="19" spans="1:32" s="218" customFormat="1" ht="16.5" customHeight="1" x14ac:dyDescent="0.35">
      <c r="B19" s="251" t="s">
        <v>333</v>
      </c>
      <c r="C19" s="292">
        <f t="shared" ref="C19:AF19" si="3">C17*C18</f>
        <v>65</v>
      </c>
      <c r="D19" s="292">
        <f t="shared" si="3"/>
        <v>65.974999999999994</v>
      </c>
      <c r="E19" s="292">
        <f t="shared" si="3"/>
        <v>66.964624999999984</v>
      </c>
      <c r="F19" s="292">
        <f t="shared" si="3"/>
        <v>67.969094374999969</v>
      </c>
      <c r="G19" s="292">
        <f t="shared" si="3"/>
        <v>68.988630790624967</v>
      </c>
      <c r="H19" s="292">
        <f t="shared" si="3"/>
        <v>70.023460252484327</v>
      </c>
      <c r="I19" s="292">
        <f t="shared" si="3"/>
        <v>71.073812156271586</v>
      </c>
      <c r="J19" s="292">
        <f t="shared" si="3"/>
        <v>72.139919338615641</v>
      </c>
      <c r="K19" s="292">
        <f t="shared" si="3"/>
        <v>73.22201812869487</v>
      </c>
      <c r="L19" s="292">
        <f t="shared" si="3"/>
        <v>74.320348400625278</v>
      </c>
      <c r="M19" s="292">
        <f t="shared" si="3"/>
        <v>75.435153626634659</v>
      </c>
      <c r="N19" s="292">
        <f t="shared" si="3"/>
        <v>76.56668093103417</v>
      </c>
      <c r="O19" s="292">
        <f t="shared" si="3"/>
        <v>77.715181144999661</v>
      </c>
      <c r="P19" s="292">
        <f t="shared" si="3"/>
        <v>78.88090886217465</v>
      </c>
      <c r="Q19" s="292">
        <f t="shared" si="3"/>
        <v>80.064122495107256</v>
      </c>
      <c r="R19" s="292">
        <f t="shared" si="3"/>
        <v>81.265084332533846</v>
      </c>
      <c r="S19" s="292">
        <f t="shared" si="3"/>
        <v>82.484060597521847</v>
      </c>
      <c r="T19" s="292">
        <f t="shared" si="3"/>
        <v>83.721321506484657</v>
      </c>
      <c r="U19" s="292">
        <f t="shared" si="3"/>
        <v>84.977141329081931</v>
      </c>
      <c r="V19" s="292">
        <f t="shared" si="3"/>
        <v>86.251798449018153</v>
      </c>
      <c r="W19" s="292">
        <f t="shared" si="3"/>
        <v>87.545575425753398</v>
      </c>
      <c r="X19" s="292">
        <f t="shared" si="3"/>
        <v>88.858759057139679</v>
      </c>
      <c r="Y19" s="292">
        <f t="shared" si="3"/>
        <v>90.191640442996757</v>
      </c>
      <c r="Z19" s="292">
        <f t="shared" si="3"/>
        <v>91.544515049641703</v>
      </c>
      <c r="AA19" s="292">
        <f t="shared" si="3"/>
        <v>92.917682775386325</v>
      </c>
      <c r="AB19" s="292">
        <f t="shared" si="3"/>
        <v>94.311448017017113</v>
      </c>
      <c r="AC19" s="292">
        <f t="shared" si="3"/>
        <v>95.726119737272356</v>
      </c>
      <c r="AD19" s="292">
        <f t="shared" si="3"/>
        <v>97.162011533331423</v>
      </c>
      <c r="AE19" s="292">
        <f t="shared" si="3"/>
        <v>98.619441706331372</v>
      </c>
      <c r="AF19" s="292">
        <f t="shared" si="3"/>
        <v>100.09873333192634</v>
      </c>
    </row>
    <row r="20" spans="1:32" s="218" customFormat="1" ht="16.5" customHeight="1" x14ac:dyDescent="0.35">
      <c r="B20" s="253" t="s">
        <v>334</v>
      </c>
      <c r="C20" s="270">
        <f>Inputs!$D$37</f>
        <v>25</v>
      </c>
      <c r="D20" s="270">
        <f>Inputs!$D$37</f>
        <v>25</v>
      </c>
      <c r="E20" s="270">
        <f>Inputs!$D$37</f>
        <v>25</v>
      </c>
      <c r="F20" s="270">
        <f>Inputs!$D$37</f>
        <v>25</v>
      </c>
      <c r="G20" s="270">
        <f>Inputs!$D$37</f>
        <v>25</v>
      </c>
      <c r="H20" s="270">
        <f>Inputs!$D$37</f>
        <v>25</v>
      </c>
      <c r="I20" s="270">
        <f>Inputs!$D$37</f>
        <v>25</v>
      </c>
      <c r="J20" s="270">
        <f>Inputs!$D$37</f>
        <v>25</v>
      </c>
      <c r="K20" s="270">
        <f>Inputs!$D$37</f>
        <v>25</v>
      </c>
      <c r="L20" s="270">
        <f>Inputs!$D$37</f>
        <v>25</v>
      </c>
      <c r="M20" s="270">
        <f>Inputs!$D$37</f>
        <v>25</v>
      </c>
      <c r="N20" s="270">
        <f>Inputs!$D$37</f>
        <v>25</v>
      </c>
      <c r="O20" s="270">
        <f>Inputs!$D$37</f>
        <v>25</v>
      </c>
      <c r="P20" s="270">
        <f>Inputs!$D$37</f>
        <v>25</v>
      </c>
      <c r="Q20" s="270">
        <f>Inputs!$D$37</f>
        <v>25</v>
      </c>
      <c r="R20" s="270">
        <f>Inputs!$D$37</f>
        <v>25</v>
      </c>
      <c r="S20" s="270">
        <f>Inputs!$D$37</f>
        <v>25</v>
      </c>
      <c r="T20" s="270">
        <f>Inputs!$D$37</f>
        <v>25</v>
      </c>
      <c r="U20" s="270">
        <f>Inputs!$D$37</f>
        <v>25</v>
      </c>
      <c r="V20" s="270">
        <f>Inputs!$D$37</f>
        <v>25</v>
      </c>
      <c r="W20" s="270">
        <f>Inputs!$D$37</f>
        <v>25</v>
      </c>
      <c r="X20" s="270">
        <f>Inputs!$D$37</f>
        <v>25</v>
      </c>
      <c r="Y20" s="270">
        <f>Inputs!$D$37</f>
        <v>25</v>
      </c>
      <c r="Z20" s="270">
        <f>Inputs!$D$37</f>
        <v>25</v>
      </c>
      <c r="AA20" s="270">
        <f>Inputs!$D$37</f>
        <v>25</v>
      </c>
      <c r="AB20" s="270">
        <f>Inputs!$D$37</f>
        <v>25</v>
      </c>
      <c r="AC20" s="270">
        <f>Inputs!$D$37</f>
        <v>25</v>
      </c>
      <c r="AD20" s="270">
        <f>Inputs!$D$37</f>
        <v>25</v>
      </c>
      <c r="AE20" s="270">
        <f>Inputs!$D$37</f>
        <v>25</v>
      </c>
      <c r="AF20" s="270">
        <f>Inputs!$D$37</f>
        <v>25</v>
      </c>
    </row>
    <row r="21" spans="1:32" s="218" customFormat="1" ht="16.5" customHeight="1" x14ac:dyDescent="0.35">
      <c r="B21" s="251" t="s">
        <v>335</v>
      </c>
      <c r="C21" s="304">
        <f>(1+Inputs!$D$38)^(Revenue!C2-1)</f>
        <v>1</v>
      </c>
      <c r="D21" s="304">
        <f>(1+Inputs!$D$38)^(Revenue!D2-1)</f>
        <v>1.01</v>
      </c>
      <c r="E21" s="304">
        <f>(1+Inputs!$D$38)^(Revenue!E2-1)</f>
        <v>1.0201</v>
      </c>
      <c r="F21" s="304">
        <f>(1+Inputs!$D$38)^(Revenue!F2-1)</f>
        <v>1.0303009999999999</v>
      </c>
      <c r="G21" s="304">
        <f>(1+Inputs!$D$38)^(Revenue!G2-1)</f>
        <v>1.04060401</v>
      </c>
      <c r="H21" s="304">
        <f>(1+Inputs!$D$38)^(Revenue!H2-1)</f>
        <v>1.0510100500999999</v>
      </c>
      <c r="I21" s="304">
        <f>(1+Inputs!$D$38)^(Revenue!I2-1)</f>
        <v>1.0615201506010001</v>
      </c>
      <c r="J21" s="304">
        <f>(1+Inputs!$D$38)^(Revenue!J2-1)</f>
        <v>1.0721353521070098</v>
      </c>
      <c r="K21" s="304">
        <f>(1+Inputs!$D$38)^(Revenue!K2-1)</f>
        <v>1.0828567056280802</v>
      </c>
      <c r="L21" s="304">
        <f>(1+Inputs!$D$38)^(Revenue!L2-1)</f>
        <v>1.0936852726843611</v>
      </c>
      <c r="M21" s="304">
        <f>(1+Inputs!$D$38)^(Revenue!M2-1)</f>
        <v>1.1046221254112047</v>
      </c>
      <c r="N21" s="304">
        <f>(1+Inputs!$D$38)^(Revenue!N2-1)</f>
        <v>1.1156683466653166</v>
      </c>
      <c r="O21" s="304">
        <f>(1+Inputs!$D$38)^(Revenue!O2-1)</f>
        <v>1.1268250301319698</v>
      </c>
      <c r="P21" s="304">
        <f>(1+Inputs!$D$38)^(Revenue!P2-1)</f>
        <v>1.1380932804332895</v>
      </c>
      <c r="Q21" s="304">
        <f>(1+Inputs!$D$38)^(Revenue!Q2-1)</f>
        <v>1.1494742132376226</v>
      </c>
      <c r="R21" s="304">
        <f>(1+Inputs!$D$38)^(Revenue!R2-1)</f>
        <v>1.1609689553699984</v>
      </c>
      <c r="S21" s="304">
        <f>(1+Inputs!$D$38)^(Revenue!S2-1)</f>
        <v>1.1725786449236988</v>
      </c>
      <c r="T21" s="304">
        <f>(1+Inputs!$D$38)^(Revenue!T2-1)</f>
        <v>1.1843044313729358</v>
      </c>
      <c r="U21" s="304">
        <f>(1+Inputs!$D$38)^(Revenue!U2-1)</f>
        <v>1.1961474756866652</v>
      </c>
      <c r="V21" s="304">
        <f>(1+Inputs!$D$38)^(Revenue!V2-1)</f>
        <v>1.2081089504435316</v>
      </c>
      <c r="W21" s="304">
        <f>(1+Inputs!$D$38)^(Revenue!W2-1)</f>
        <v>1.220190039947967</v>
      </c>
      <c r="X21" s="304">
        <f>(1+Inputs!$D$38)^(Revenue!X2-1)</f>
        <v>1.2323919403474466</v>
      </c>
      <c r="Y21" s="304">
        <f>(1+Inputs!$D$38)^(Revenue!Y2-1)</f>
        <v>1.2447158597509214</v>
      </c>
      <c r="Z21" s="304">
        <f>(1+Inputs!$D$38)^(Revenue!Z2-1)</f>
        <v>1.2571630183484304</v>
      </c>
      <c r="AA21" s="304">
        <f>(1+Inputs!$D$38)^(Revenue!AA2-1)</f>
        <v>1.269734648531915</v>
      </c>
      <c r="AB21" s="304">
        <f>(1+Inputs!$D$38)^(Revenue!AB2-1)</f>
        <v>1.2824319950172343</v>
      </c>
      <c r="AC21" s="304">
        <f>(1+Inputs!$D$38)^(Revenue!AC2-1)</f>
        <v>1.2952563149674066</v>
      </c>
      <c r="AD21" s="304">
        <f>(1+Inputs!$D$38)^(Revenue!AD2-1)</f>
        <v>1.3082088781170802</v>
      </c>
      <c r="AE21" s="304">
        <f>(1+Inputs!$D$38)^(Revenue!AE2-1)</f>
        <v>1.3212909668982511</v>
      </c>
      <c r="AF21" s="305">
        <f>(1+Inputs!$D$38)^(Revenue!AF2-1)</f>
        <v>1.3345038765672337</v>
      </c>
    </row>
    <row r="22" spans="1:32" s="218" customFormat="1" ht="16.5" customHeight="1" x14ac:dyDescent="0.35">
      <c r="B22" s="253" t="s">
        <v>336</v>
      </c>
      <c r="C22" s="270">
        <f t="shared" ref="C22:AF22" si="4">C20*C21</f>
        <v>25</v>
      </c>
      <c r="D22" s="270">
        <f t="shared" si="4"/>
        <v>25.25</v>
      </c>
      <c r="E22" s="270">
        <f t="shared" si="4"/>
        <v>25.502500000000001</v>
      </c>
      <c r="F22" s="270">
        <f t="shared" si="4"/>
        <v>25.757524999999998</v>
      </c>
      <c r="G22" s="270">
        <f t="shared" si="4"/>
        <v>26.01510025</v>
      </c>
      <c r="H22" s="270">
        <f t="shared" si="4"/>
        <v>26.275251252499999</v>
      </c>
      <c r="I22" s="270">
        <f t="shared" si="4"/>
        <v>26.538003765025003</v>
      </c>
      <c r="J22" s="270">
        <f t="shared" si="4"/>
        <v>26.803383802675246</v>
      </c>
      <c r="K22" s="270">
        <f t="shared" si="4"/>
        <v>27.071417640702006</v>
      </c>
      <c r="L22" s="270">
        <f t="shared" si="4"/>
        <v>27.342131817109028</v>
      </c>
      <c r="M22" s="270">
        <f t="shared" si="4"/>
        <v>27.61555313528012</v>
      </c>
      <c r="N22" s="270">
        <f t="shared" si="4"/>
        <v>27.891708666632915</v>
      </c>
      <c r="O22" s="270">
        <f t="shared" si="4"/>
        <v>28.170625753299245</v>
      </c>
      <c r="P22" s="270">
        <f t="shared" si="4"/>
        <v>28.452332010832237</v>
      </c>
      <c r="Q22" s="270">
        <f t="shared" si="4"/>
        <v>28.736855330940564</v>
      </c>
      <c r="R22" s="270">
        <f t="shared" si="4"/>
        <v>29.02422388424996</v>
      </c>
      <c r="S22" s="270">
        <f t="shared" si="4"/>
        <v>29.314466123092469</v>
      </c>
      <c r="T22" s="270">
        <f t="shared" si="4"/>
        <v>29.607610784323395</v>
      </c>
      <c r="U22" s="270">
        <f t="shared" si="4"/>
        <v>29.903686892166633</v>
      </c>
      <c r="V22" s="270">
        <f t="shared" si="4"/>
        <v>30.20272376108829</v>
      </c>
      <c r="W22" s="270">
        <f t="shared" si="4"/>
        <v>30.504750998699176</v>
      </c>
      <c r="X22" s="270">
        <f t="shared" si="4"/>
        <v>30.809798508686164</v>
      </c>
      <c r="Y22" s="270">
        <f t="shared" si="4"/>
        <v>31.117896493773035</v>
      </c>
      <c r="Z22" s="270">
        <f t="shared" si="4"/>
        <v>31.429075458710759</v>
      </c>
      <c r="AA22" s="270">
        <f t="shared" si="4"/>
        <v>31.743366213297875</v>
      </c>
      <c r="AB22" s="270">
        <f t="shared" si="4"/>
        <v>32.06079987543086</v>
      </c>
      <c r="AC22" s="270">
        <f t="shared" si="4"/>
        <v>32.381407874185165</v>
      </c>
      <c r="AD22" s="270">
        <f t="shared" si="4"/>
        <v>32.705221952927005</v>
      </c>
      <c r="AE22" s="270">
        <f t="shared" si="4"/>
        <v>33.032274172456276</v>
      </c>
      <c r="AF22" s="270">
        <f t="shared" si="4"/>
        <v>33.362596914180841</v>
      </c>
    </row>
    <row r="23" spans="1:32" s="218" customFormat="1" ht="16.5" customHeight="1" x14ac:dyDescent="0.35">
      <c r="B23" s="251" t="s">
        <v>337</v>
      </c>
      <c r="C23" s="304">
        <f>1/Inputs!$D$25</f>
        <v>1.1764705882352942</v>
      </c>
      <c r="D23" s="304">
        <f>1/Inputs!$D$25</f>
        <v>1.1764705882352942</v>
      </c>
      <c r="E23" s="304">
        <f>1/Inputs!$D$25</f>
        <v>1.1764705882352942</v>
      </c>
      <c r="F23" s="304">
        <f>1/Inputs!$D$25</f>
        <v>1.1764705882352942</v>
      </c>
      <c r="G23" s="304">
        <f>1/Inputs!$D$25</f>
        <v>1.1764705882352942</v>
      </c>
      <c r="H23" s="304">
        <f>1/Inputs!$D$25</f>
        <v>1.1764705882352942</v>
      </c>
      <c r="I23" s="304">
        <f>1/Inputs!$D$25</f>
        <v>1.1764705882352942</v>
      </c>
      <c r="J23" s="304">
        <f>1/Inputs!$D$25</f>
        <v>1.1764705882352942</v>
      </c>
      <c r="K23" s="304">
        <f>1/Inputs!$D$25</f>
        <v>1.1764705882352942</v>
      </c>
      <c r="L23" s="304">
        <f>1/Inputs!$D$25</f>
        <v>1.1764705882352942</v>
      </c>
      <c r="M23" s="304">
        <f>1/Inputs!$D$25</f>
        <v>1.1764705882352942</v>
      </c>
      <c r="N23" s="304">
        <f>1/Inputs!$D$25</f>
        <v>1.1764705882352942</v>
      </c>
      <c r="O23" s="304">
        <f>1/Inputs!$D$25</f>
        <v>1.1764705882352942</v>
      </c>
      <c r="P23" s="304">
        <f>1/Inputs!$D$25</f>
        <v>1.1764705882352942</v>
      </c>
      <c r="Q23" s="304">
        <f>1/Inputs!$D$25</f>
        <v>1.1764705882352942</v>
      </c>
      <c r="R23" s="304">
        <f>1/Inputs!$D$25</f>
        <v>1.1764705882352942</v>
      </c>
      <c r="S23" s="304">
        <f>1/Inputs!$D$25</f>
        <v>1.1764705882352942</v>
      </c>
      <c r="T23" s="304">
        <f>1/Inputs!$D$25</f>
        <v>1.1764705882352942</v>
      </c>
      <c r="U23" s="304">
        <f>1/Inputs!$D$25</f>
        <v>1.1764705882352942</v>
      </c>
      <c r="V23" s="304">
        <f>1/Inputs!$D$25</f>
        <v>1.1764705882352942</v>
      </c>
      <c r="W23" s="304">
        <f>1/Inputs!$D$25</f>
        <v>1.1764705882352942</v>
      </c>
      <c r="X23" s="304">
        <f>1/Inputs!$D$25</f>
        <v>1.1764705882352942</v>
      </c>
      <c r="Y23" s="304">
        <f>1/Inputs!$D$25</f>
        <v>1.1764705882352942</v>
      </c>
      <c r="Z23" s="304">
        <f>1/Inputs!$D$25</f>
        <v>1.1764705882352942</v>
      </c>
      <c r="AA23" s="304">
        <f>1/Inputs!$D$25</f>
        <v>1.1764705882352942</v>
      </c>
      <c r="AB23" s="304">
        <f>1/Inputs!$D$25</f>
        <v>1.1764705882352942</v>
      </c>
      <c r="AC23" s="304">
        <f>1/Inputs!$D$25</f>
        <v>1.1764705882352942</v>
      </c>
      <c r="AD23" s="304">
        <f>1/Inputs!$D$25</f>
        <v>1.1764705882352942</v>
      </c>
      <c r="AE23" s="304">
        <f>1/Inputs!$D$25</f>
        <v>1.1764705882352942</v>
      </c>
      <c r="AF23" s="305">
        <f>1/Inputs!$D$25</f>
        <v>1.1764705882352942</v>
      </c>
    </row>
    <row r="24" spans="1:32" s="218" customFormat="1" ht="16.5" customHeight="1" x14ac:dyDescent="0.35">
      <c r="B24" s="253" t="s">
        <v>338</v>
      </c>
      <c r="C24" s="270">
        <f t="shared" ref="C24:AF24" si="5">C22*C23</f>
        <v>29.411764705882355</v>
      </c>
      <c r="D24" s="270">
        <f t="shared" si="5"/>
        <v>29.705882352941178</v>
      </c>
      <c r="E24" s="270">
        <f t="shared" si="5"/>
        <v>30.002941176470589</v>
      </c>
      <c r="F24" s="270">
        <f t="shared" si="5"/>
        <v>30.302970588235294</v>
      </c>
      <c r="G24" s="270">
        <f t="shared" si="5"/>
        <v>30.606000294117649</v>
      </c>
      <c r="H24" s="270">
        <f t="shared" si="5"/>
        <v>30.912060297058822</v>
      </c>
      <c r="I24" s="270">
        <f t="shared" si="5"/>
        <v>31.221180900029417</v>
      </c>
      <c r="J24" s="270">
        <f t="shared" si="5"/>
        <v>31.533392709029702</v>
      </c>
      <c r="K24" s="270">
        <f t="shared" si="5"/>
        <v>31.848726636120009</v>
      </c>
      <c r="L24" s="270">
        <f t="shared" si="5"/>
        <v>32.167213902481208</v>
      </c>
      <c r="M24" s="270">
        <f t="shared" si="5"/>
        <v>32.488886041506028</v>
      </c>
      <c r="N24" s="270">
        <f t="shared" si="5"/>
        <v>32.813774901921079</v>
      </c>
      <c r="O24" s="270">
        <f t="shared" si="5"/>
        <v>33.141912650940291</v>
      </c>
      <c r="P24" s="270">
        <f t="shared" si="5"/>
        <v>33.473331777449694</v>
      </c>
      <c r="Q24" s="270">
        <f t="shared" si="5"/>
        <v>33.808065095224194</v>
      </c>
      <c r="R24" s="270">
        <f t="shared" si="5"/>
        <v>34.146145746176423</v>
      </c>
      <c r="S24" s="270">
        <f t="shared" si="5"/>
        <v>34.487607203638198</v>
      </c>
      <c r="T24" s="270">
        <f t="shared" si="5"/>
        <v>34.832483275674583</v>
      </c>
      <c r="U24" s="270">
        <f t="shared" si="5"/>
        <v>35.180808108431336</v>
      </c>
      <c r="V24" s="270">
        <f t="shared" si="5"/>
        <v>35.532616189515636</v>
      </c>
      <c r="W24" s="270">
        <f t="shared" si="5"/>
        <v>35.8879423514108</v>
      </c>
      <c r="X24" s="270">
        <f t="shared" si="5"/>
        <v>36.246821774924904</v>
      </c>
      <c r="Y24" s="270">
        <f t="shared" si="5"/>
        <v>36.609289992674157</v>
      </c>
      <c r="Z24" s="270">
        <f t="shared" si="5"/>
        <v>36.975382892600898</v>
      </c>
      <c r="AA24" s="270">
        <f t="shared" si="5"/>
        <v>37.345136721526913</v>
      </c>
      <c r="AB24" s="270">
        <f t="shared" si="5"/>
        <v>37.718588088742187</v>
      </c>
      <c r="AC24" s="270">
        <f t="shared" si="5"/>
        <v>38.095773969629604</v>
      </c>
      <c r="AD24" s="270">
        <f t="shared" si="5"/>
        <v>38.47673170932589</v>
      </c>
      <c r="AE24" s="270">
        <f t="shared" si="5"/>
        <v>38.861499026419146</v>
      </c>
      <c r="AF24" s="270">
        <f t="shared" si="5"/>
        <v>39.250114016683341</v>
      </c>
    </row>
    <row r="25" spans="1:32" s="218" customFormat="1" ht="16.5" customHeight="1" x14ac:dyDescent="0.35">
      <c r="B25" s="251" t="s">
        <v>339</v>
      </c>
      <c r="C25" s="288">
        <f>Energy!B15/Energy!B17</f>
        <v>9.8196923076923084E-2</v>
      </c>
      <c r="D25" s="288">
        <f>Energy!C15/Energy!C17</f>
        <v>0.10021121893491124</v>
      </c>
      <c r="E25" s="288">
        <f>Energy!D15/Energy!D17</f>
        <v>0.10226683368229404</v>
      </c>
      <c r="F25" s="288">
        <f>Energy!E15/Energy!E17</f>
        <v>0.10436461488603342</v>
      </c>
      <c r="G25" s="288">
        <f>Energy!F15/Energy!F17</f>
        <v>0.10650542749908028</v>
      </c>
      <c r="H25" s="288">
        <f>Energy!G15/Energy!G17</f>
        <v>0.10869015421701013</v>
      </c>
      <c r="I25" s="288">
        <f>Energy!H15/Energy!H17</f>
        <v>0.11091969584197443</v>
      </c>
      <c r="J25" s="288">
        <f>Energy!I15/Energy!I17</f>
        <v>0.11319497165411749</v>
      </c>
      <c r="K25" s="288">
        <f>Energy!J15/Energy!J17</f>
        <v>0.11551691979061222</v>
      </c>
      <c r="L25" s="288">
        <f>Energy!K15/Energy!K17</f>
        <v>0.11788649763247093</v>
      </c>
      <c r="M25" s="288">
        <f>Energy!L15/Energy!L17</f>
        <v>0.12030468219929086</v>
      </c>
      <c r="N25" s="288">
        <f>Energy!M15/Energy!M17</f>
        <v>0.12277247055209682</v>
      </c>
      <c r="O25" s="288">
        <f>Energy!N15/Energy!N17</f>
        <v>0.12529088020444754</v>
      </c>
      <c r="P25" s="288">
        <f>Energy!O15/Energy!O17</f>
        <v>0.12786094954197469</v>
      </c>
      <c r="Q25" s="288">
        <f>Energy!P15/Energy!P17</f>
        <v>0.130483738250528</v>
      </c>
      <c r="R25" s="288">
        <f>Energy!Q15/Energy!Q17</f>
        <v>0.13316032775310296</v>
      </c>
      <c r="S25" s="288">
        <f>Energy!R15/Energy!R17</f>
        <v>0.13589182165573069</v>
      </c>
      <c r="T25" s="288">
        <f>Energy!S15/Energy!S17</f>
        <v>0.13867934620251493</v>
      </c>
      <c r="U25" s="288">
        <f>Energy!T15/Energy!T17</f>
        <v>0.14152405074000243</v>
      </c>
      <c r="V25" s="288">
        <f>Energy!U15/Energy!U17</f>
        <v>0.14442710819107937</v>
      </c>
      <c r="W25" s="288">
        <f>Energy!V15/Energy!V17</f>
        <v>0.14738971553858871</v>
      </c>
      <c r="X25" s="288">
        <f>Energy!W15/Energy!W17</f>
        <v>0.15041309431886746</v>
      </c>
      <c r="Y25" s="288">
        <f>Energy!X15/Energy!X17</f>
        <v>0.15349849112540834</v>
      </c>
      <c r="Z25" s="288">
        <f>Energy!Y15/Energy!Y17</f>
        <v>0.15664717812285264</v>
      </c>
      <c r="AA25" s="288">
        <f>Energy!Z15/Energy!Z17</f>
        <v>0.15986045357152653</v>
      </c>
      <c r="AB25" s="288">
        <f>Energy!AA15/Energy!AA17</f>
        <v>0.16313964236273731</v>
      </c>
      <c r="AC25" s="288">
        <f>Energy!AB15/Energy!AB17</f>
        <v>0.16648609656504992</v>
      </c>
      <c r="AD25" s="288">
        <f>Energy!AC15/Energy!AC17</f>
        <v>0.16990119598176887</v>
      </c>
      <c r="AE25" s="288">
        <f>Energy!AD15/Energy!AD17</f>
        <v>0.17338634871985645</v>
      </c>
      <c r="AF25" s="289">
        <f>Energy!AE15/Energy!AE17</f>
        <v>0.17694299177052022</v>
      </c>
    </row>
    <row r="26" spans="1:32" s="218" customFormat="1" ht="16.5" customHeight="1" x14ac:dyDescent="0.35">
      <c r="B26" s="253" t="s">
        <v>340</v>
      </c>
      <c r="C26" s="306">
        <f t="shared" ref="C26:AF26" si="6">1-C25</f>
        <v>0.90180307692307693</v>
      </c>
      <c r="D26" s="306">
        <f t="shared" si="6"/>
        <v>0.89978878106508875</v>
      </c>
      <c r="E26" s="306">
        <f t="shared" si="6"/>
        <v>0.89773316631770594</v>
      </c>
      <c r="F26" s="306">
        <f t="shared" si="6"/>
        <v>0.89563538511396656</v>
      </c>
      <c r="G26" s="306">
        <f t="shared" si="6"/>
        <v>0.89349457250091968</v>
      </c>
      <c r="H26" s="306">
        <f t="shared" si="6"/>
        <v>0.89130984578298988</v>
      </c>
      <c r="I26" s="306">
        <f t="shared" si="6"/>
        <v>0.88908030415802553</v>
      </c>
      <c r="J26" s="306">
        <f t="shared" si="6"/>
        <v>0.88680502834588248</v>
      </c>
      <c r="K26" s="306">
        <f t="shared" si="6"/>
        <v>0.88448308020938782</v>
      </c>
      <c r="L26" s="306">
        <f t="shared" si="6"/>
        <v>0.88211350236752906</v>
      </c>
      <c r="M26" s="306">
        <f t="shared" si="6"/>
        <v>0.8796953178007092</v>
      </c>
      <c r="N26" s="306">
        <f t="shared" si="6"/>
        <v>0.87722752944790316</v>
      </c>
      <c r="O26" s="306">
        <f t="shared" si="6"/>
        <v>0.87470911979555244</v>
      </c>
      <c r="P26" s="306">
        <f t="shared" si="6"/>
        <v>0.87213905045802531</v>
      </c>
      <c r="Q26" s="306">
        <f t="shared" si="6"/>
        <v>0.86951626174947205</v>
      </c>
      <c r="R26" s="306">
        <f t="shared" si="6"/>
        <v>0.86683967224689706</v>
      </c>
      <c r="S26" s="306">
        <f t="shared" si="6"/>
        <v>0.86410817834426934</v>
      </c>
      <c r="T26" s="306">
        <f t="shared" si="6"/>
        <v>0.86132065379748513</v>
      </c>
      <c r="U26" s="306">
        <f t="shared" si="6"/>
        <v>0.85847594925999759</v>
      </c>
      <c r="V26" s="306">
        <f t="shared" si="6"/>
        <v>0.8555728918089206</v>
      </c>
      <c r="W26" s="306">
        <f t="shared" si="6"/>
        <v>0.85261028446141129</v>
      </c>
      <c r="X26" s="306">
        <f t="shared" si="6"/>
        <v>0.84958690568113249</v>
      </c>
      <c r="Y26" s="306">
        <f t="shared" si="6"/>
        <v>0.84650150887459163</v>
      </c>
      <c r="Z26" s="306">
        <f t="shared" si="6"/>
        <v>0.84335282187714733</v>
      </c>
      <c r="AA26" s="306">
        <f t="shared" si="6"/>
        <v>0.84013954642847344</v>
      </c>
      <c r="AB26" s="306">
        <f t="shared" si="6"/>
        <v>0.83686035763726263</v>
      </c>
      <c r="AC26" s="306">
        <f t="shared" si="6"/>
        <v>0.83351390343495013</v>
      </c>
      <c r="AD26" s="306">
        <f t="shared" si="6"/>
        <v>0.83009880401823111</v>
      </c>
      <c r="AE26" s="306">
        <f t="shared" si="6"/>
        <v>0.82661365128014352</v>
      </c>
      <c r="AF26" s="307">
        <f t="shared" si="6"/>
        <v>0.8230570082294798</v>
      </c>
    </row>
    <row r="27" spans="1:32" s="218" customFormat="1" ht="16.5" customHeight="1" x14ac:dyDescent="0.35">
      <c r="B27" s="251" t="s">
        <v>341</v>
      </c>
      <c r="C27" s="292">
        <f t="shared" ref="C27:AF27" si="7">C26*C24</f>
        <v>26.523619909502266</v>
      </c>
      <c r="D27" s="292">
        <f t="shared" si="7"/>
        <v>26.729019672815873</v>
      </c>
      <c r="E27" s="292">
        <f t="shared" si="7"/>
        <v>26.93463538119682</v>
      </c>
      <c r="F27" s="292">
        <f t="shared" si="7"/>
        <v>27.140412732891321</v>
      </c>
      <c r="G27" s="292">
        <f t="shared" si="7"/>
        <v>27.346295148755672</v>
      </c>
      <c r="H27" s="292">
        <f t="shared" si="7"/>
        <v>27.552223696205985</v>
      </c>
      <c r="I27" s="292">
        <f t="shared" si="7"/>
        <v>27.758137010770891</v>
      </c>
      <c r="J27" s="292">
        <f t="shared" si="7"/>
        <v>27.963971215172929</v>
      </c>
      <c r="K27" s="292">
        <f t="shared" si="7"/>
        <v>28.169659835862202</v>
      </c>
      <c r="L27" s="292">
        <f t="shared" si="7"/>
        <v>28.37513371692317</v>
      </c>
      <c r="M27" s="292">
        <f t="shared" si="7"/>
        <v>28.580320931273672</v>
      </c>
      <c r="N27" s="292">
        <f t="shared" si="7"/>
        <v>28.785146689071841</v>
      </c>
      <c r="O27" s="292">
        <f t="shared" si="7"/>
        <v>28.989533243245067</v>
      </c>
      <c r="P27" s="292">
        <f t="shared" si="7"/>
        <v>29.193399792051419</v>
      </c>
      <c r="Q27" s="292">
        <f t="shared" si="7"/>
        <v>29.39666237858215</v>
      </c>
      <c r="R27" s="292">
        <f t="shared" si="7"/>
        <v>29.59923378711035</v>
      </c>
      <c r="S27" s="292">
        <f t="shared" si="7"/>
        <v>29.801023436188505</v>
      </c>
      <c r="T27" s="292">
        <f t="shared" si="7"/>
        <v>30.001937268393998</v>
      </c>
      <c r="U27" s="292">
        <f t="shared" si="7"/>
        <v>30.201877636619411</v>
      </c>
      <c r="V27" s="292">
        <f t="shared" si="7"/>
        <v>30.400743186800362</v>
      </c>
      <c r="W27" s="292">
        <f t="shared" si="7"/>
        <v>30.598428736971091</v>
      </c>
      <c r="X27" s="292">
        <f t="shared" si="7"/>
        <v>30.794825152533942</v>
      </c>
      <c r="Y27" s="292">
        <f t="shared" si="7"/>
        <v>30.989819217626163</v>
      </c>
      <c r="Z27" s="292">
        <f t="shared" si="7"/>
        <v>31.183293502462966</v>
      </c>
      <c r="AA27" s="292">
        <f t="shared" si="7"/>
        <v>31.375126226532949</v>
      </c>
      <c r="AB27" s="292">
        <f t="shared" si="7"/>
        <v>31.565191117517383</v>
      </c>
      <c r="AC27" s="292">
        <f t="shared" si="7"/>
        <v>31.753357265801537</v>
      </c>
      <c r="AD27" s="292">
        <f t="shared" si="7"/>
        <v>31.939488974441769</v>
      </c>
      <c r="AE27" s="292">
        <f t="shared" si="7"/>
        <v>32.123445604448072</v>
      </c>
      <c r="AF27" s="292">
        <f t="shared" si="7"/>
        <v>32.30508141523736</v>
      </c>
    </row>
    <row r="28" spans="1:32" s="218" customFormat="1" ht="16.5" customHeight="1" x14ac:dyDescent="0.35">
      <c r="B28" s="253" t="s">
        <v>342</v>
      </c>
      <c r="C28" s="270">
        <f t="shared" ref="C28:AF28" si="8">C19-C27</f>
        <v>38.476380090497734</v>
      </c>
      <c r="D28" s="270">
        <f t="shared" si="8"/>
        <v>39.245980327184121</v>
      </c>
      <c r="E28" s="270">
        <f t="shared" si="8"/>
        <v>40.029989618803164</v>
      </c>
      <c r="F28" s="270">
        <f t="shared" si="8"/>
        <v>40.828681642108648</v>
      </c>
      <c r="G28" s="270">
        <f t="shared" si="8"/>
        <v>41.642335641869295</v>
      </c>
      <c r="H28" s="270">
        <f t="shared" si="8"/>
        <v>42.471236556278342</v>
      </c>
      <c r="I28" s="270">
        <f t="shared" si="8"/>
        <v>43.315675145500691</v>
      </c>
      <c r="J28" s="270">
        <f t="shared" si="8"/>
        <v>44.175948123442708</v>
      </c>
      <c r="K28" s="270">
        <f t="shared" si="8"/>
        <v>45.052358292832665</v>
      </c>
      <c r="L28" s="270">
        <f t="shared" si="8"/>
        <v>45.945214683702105</v>
      </c>
      <c r="M28" s="270">
        <f t="shared" si="8"/>
        <v>46.854832695360983</v>
      </c>
      <c r="N28" s="270">
        <f t="shared" si="8"/>
        <v>47.781534241962333</v>
      </c>
      <c r="O28" s="270">
        <f t="shared" si="8"/>
        <v>48.725647901754598</v>
      </c>
      <c r="P28" s="270">
        <f t="shared" si="8"/>
        <v>49.687509070123227</v>
      </c>
      <c r="Q28" s="270">
        <f t="shared" si="8"/>
        <v>50.667460116525106</v>
      </c>
      <c r="R28" s="270">
        <f t="shared" si="8"/>
        <v>51.665850545423496</v>
      </c>
      <c r="S28" s="270">
        <f t="shared" si="8"/>
        <v>52.683037161333345</v>
      </c>
      <c r="T28" s="270">
        <f t="shared" si="8"/>
        <v>53.719384238090655</v>
      </c>
      <c r="U28" s="270">
        <f t="shared" si="8"/>
        <v>54.775263692462516</v>
      </c>
      <c r="V28" s="270">
        <f t="shared" si="8"/>
        <v>55.851055262217791</v>
      </c>
      <c r="W28" s="270">
        <f t="shared" si="8"/>
        <v>56.947146688782311</v>
      </c>
      <c r="X28" s="270">
        <f t="shared" si="8"/>
        <v>58.063933904605733</v>
      </c>
      <c r="Y28" s="270">
        <f t="shared" si="8"/>
        <v>59.201821225370594</v>
      </c>
      <c r="Z28" s="270">
        <f t="shared" si="8"/>
        <v>60.361221547178737</v>
      </c>
      <c r="AA28" s="270">
        <f t="shared" si="8"/>
        <v>61.542556548853376</v>
      </c>
      <c r="AB28" s="270">
        <f t="shared" si="8"/>
        <v>62.746256899499727</v>
      </c>
      <c r="AC28" s="270">
        <f t="shared" si="8"/>
        <v>63.972762471470816</v>
      </c>
      <c r="AD28" s="270">
        <f t="shared" si="8"/>
        <v>65.222522558889651</v>
      </c>
      <c r="AE28" s="270">
        <f t="shared" si="8"/>
        <v>66.495996101883293</v>
      </c>
      <c r="AF28" s="270">
        <f t="shared" si="8"/>
        <v>67.793651916688987</v>
      </c>
    </row>
    <row r="29" spans="1:32" s="218" customFormat="1" ht="18" customHeight="1" x14ac:dyDescent="0.35">
      <c r="B29" s="259" t="s">
        <v>343</v>
      </c>
      <c r="C29" s="273">
        <f t="shared" ref="C29:AF29" si="9">C16*C28</f>
        <v>2172588.04</v>
      </c>
      <c r="D29" s="273">
        <f t="shared" si="9"/>
        <v>2160642.8046104996</v>
      </c>
      <c r="E29" s="273">
        <f t="shared" si="9"/>
        <v>2148710.405741266</v>
      </c>
      <c r="F29" s="273">
        <f t="shared" si="9"/>
        <v>2136792.6543126153</v>
      </c>
      <c r="G29" s="273">
        <f t="shared" si="9"/>
        <v>2124891.3140460365</v>
      </c>
      <c r="H29" s="273">
        <f t="shared" si="9"/>
        <v>2113008.102393263</v>
      </c>
      <c r="I29" s="273">
        <f t="shared" si="9"/>
        <v>2101144.6914490373</v>
      </c>
      <c r="J29" s="273">
        <f t="shared" si="9"/>
        <v>2089302.7088478296</v>
      </c>
      <c r="K29" s="273">
        <f t="shared" si="9"/>
        <v>2077483.7386447955</v>
      </c>
      <c r="L29" s="273">
        <f t="shared" si="9"/>
        <v>2065689.3221812171</v>
      </c>
      <c r="M29" s="273">
        <f t="shared" si="9"/>
        <v>2053920.9589346913</v>
      </c>
      <c r="N29" s="273">
        <f t="shared" si="9"/>
        <v>2042180.1073543308</v>
      </c>
      <c r="O29" s="273">
        <f t="shared" si="9"/>
        <v>2030468.1856812057</v>
      </c>
      <c r="P29" s="273">
        <f t="shared" si="9"/>
        <v>2018786.5727542969</v>
      </c>
      <c r="Q29" s="273">
        <f t="shared" si="9"/>
        <v>2007136.6088021786</v>
      </c>
      <c r="R29" s="273">
        <f t="shared" si="9"/>
        <v>1995519.5962206873</v>
      </c>
      <c r="S29" s="273">
        <f t="shared" si="9"/>
        <v>1983936.8003368</v>
      </c>
      <c r="T29" s="273">
        <f t="shared" si="9"/>
        <v>1972389.4501589574</v>
      </c>
      <c r="U29" s="273">
        <f t="shared" si="9"/>
        <v>1960878.7391140584</v>
      </c>
      <c r="V29" s="273">
        <f t="shared" si="9"/>
        <v>1949405.8257713446</v>
      </c>
      <c r="W29" s="273">
        <f t="shared" si="9"/>
        <v>1937971.8345533973</v>
      </c>
      <c r="X29" s="273">
        <f t="shared" si="9"/>
        <v>1926577.8564344698</v>
      </c>
      <c r="Y29" s="273">
        <f t="shared" si="9"/>
        <v>1915224.9496263536</v>
      </c>
      <c r="Z29" s="273">
        <f t="shared" si="9"/>
        <v>1903914.1402519909</v>
      </c>
      <c r="AA29" s="273">
        <f t="shared" si="9"/>
        <v>1892646.423007055</v>
      </c>
      <c r="AB29" s="273">
        <f t="shared" si="9"/>
        <v>1881422.7618096769</v>
      </c>
      <c r="AC29" s="273">
        <f t="shared" si="9"/>
        <v>1870244.0904385317</v>
      </c>
      <c r="AD29" s="273">
        <f t="shared" si="9"/>
        <v>1859111.3131594823</v>
      </c>
      <c r="AE29" s="273">
        <f t="shared" si="9"/>
        <v>1848025.3053409583</v>
      </c>
      <c r="AF29" s="273">
        <f t="shared" si="9"/>
        <v>1836986.9140582774</v>
      </c>
    </row>
    <row r="30" spans="1:32" s="144" customFormat="1" ht="16.5" customHeight="1" x14ac:dyDescent="0.35">
      <c r="B30" s="145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</row>
    <row r="31" spans="1:32" s="165" customFormat="1" ht="16.5" customHeight="1" thickBot="1" x14ac:dyDescent="0.4">
      <c r="A31" s="82" t="s">
        <v>344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</row>
    <row r="32" spans="1:32" s="218" customFormat="1" ht="16.5" customHeight="1" x14ac:dyDescent="0.35">
      <c r="B32" s="253" t="s">
        <v>345</v>
      </c>
      <c r="C32" s="255">
        <f>Inputs!$D$41</f>
        <v>45</v>
      </c>
      <c r="D32" s="255">
        <f>Inputs!$D$41</f>
        <v>45</v>
      </c>
      <c r="E32" s="255">
        <f>Inputs!$D$41</f>
        <v>45</v>
      </c>
      <c r="F32" s="255">
        <f>Inputs!$D$41</f>
        <v>45</v>
      </c>
      <c r="G32" s="255">
        <f>Inputs!$D$41</f>
        <v>45</v>
      </c>
      <c r="H32" s="255">
        <f>Inputs!$D$41</f>
        <v>45</v>
      </c>
      <c r="I32" s="255">
        <f>Inputs!$D$41</f>
        <v>45</v>
      </c>
      <c r="J32" s="255">
        <f>Inputs!$D$41</f>
        <v>45</v>
      </c>
      <c r="K32" s="255">
        <f>Inputs!$D$41</f>
        <v>45</v>
      </c>
      <c r="L32" s="255">
        <f>Inputs!$D$41</f>
        <v>45</v>
      </c>
      <c r="M32" s="255">
        <f>Inputs!$D$41</f>
        <v>45</v>
      </c>
      <c r="N32" s="255">
        <f>Inputs!$D$41</f>
        <v>45</v>
      </c>
      <c r="O32" s="255">
        <f>Inputs!$D$41</f>
        <v>45</v>
      </c>
      <c r="P32" s="255">
        <f>Inputs!$D$41</f>
        <v>45</v>
      </c>
      <c r="Q32" s="255">
        <f>Inputs!$D$41</f>
        <v>45</v>
      </c>
      <c r="R32" s="255">
        <f>Inputs!$D$41</f>
        <v>45</v>
      </c>
      <c r="S32" s="255">
        <f>Inputs!$D$41</f>
        <v>45</v>
      </c>
      <c r="T32" s="255">
        <f>Inputs!$D$41</f>
        <v>45</v>
      </c>
      <c r="U32" s="255">
        <f>Inputs!$D$41</f>
        <v>45</v>
      </c>
      <c r="V32" s="255">
        <f>Inputs!$D$41</f>
        <v>45</v>
      </c>
      <c r="W32" s="255">
        <f>Inputs!$D$41</f>
        <v>45</v>
      </c>
      <c r="X32" s="255">
        <f>Inputs!$D$41</f>
        <v>45</v>
      </c>
      <c r="Y32" s="255">
        <f>Inputs!$D$41</f>
        <v>45</v>
      </c>
      <c r="Z32" s="255">
        <f>Inputs!$D$41</f>
        <v>45</v>
      </c>
      <c r="AA32" s="255">
        <f>Inputs!$D$41</f>
        <v>45</v>
      </c>
      <c r="AB32" s="255">
        <f>Inputs!$D$41</f>
        <v>45</v>
      </c>
      <c r="AC32" s="255">
        <f>Inputs!$D$41</f>
        <v>45</v>
      </c>
      <c r="AD32" s="255">
        <f>Inputs!$D$41</f>
        <v>45</v>
      </c>
      <c r="AE32" s="255">
        <f>Inputs!$D$41</f>
        <v>45</v>
      </c>
      <c r="AF32" s="256">
        <f>Inputs!$D$41</f>
        <v>45</v>
      </c>
    </row>
    <row r="33" spans="1:32" s="218" customFormat="1" ht="16.5" customHeight="1" x14ac:dyDescent="0.35">
      <c r="B33" s="251" t="s">
        <v>346</v>
      </c>
      <c r="C33" s="257">
        <f>Inputs!$D$42</f>
        <v>6</v>
      </c>
      <c r="D33" s="257">
        <f>Inputs!$D$42</f>
        <v>6</v>
      </c>
      <c r="E33" s="257">
        <f>Inputs!$D$42</f>
        <v>6</v>
      </c>
      <c r="F33" s="257">
        <f>Inputs!$D$42</f>
        <v>6</v>
      </c>
      <c r="G33" s="257">
        <f>Inputs!$D$42</f>
        <v>6</v>
      </c>
      <c r="H33" s="257">
        <f>Inputs!$D$42</f>
        <v>6</v>
      </c>
      <c r="I33" s="257">
        <f>Inputs!$D$42</f>
        <v>6</v>
      </c>
      <c r="J33" s="257">
        <f>Inputs!$D$42</f>
        <v>6</v>
      </c>
      <c r="K33" s="257">
        <f>Inputs!$D$42</f>
        <v>6</v>
      </c>
      <c r="L33" s="257">
        <f>Inputs!$D$42</f>
        <v>6</v>
      </c>
      <c r="M33" s="257">
        <f>Inputs!$D$42</f>
        <v>6</v>
      </c>
      <c r="N33" s="257">
        <f>Inputs!$D$42</f>
        <v>6</v>
      </c>
      <c r="O33" s="257">
        <f>Inputs!$D$42</f>
        <v>6</v>
      </c>
      <c r="P33" s="257">
        <f>Inputs!$D$42</f>
        <v>6</v>
      </c>
      <c r="Q33" s="257">
        <f>Inputs!$D$42</f>
        <v>6</v>
      </c>
      <c r="R33" s="257">
        <f>Inputs!$D$42</f>
        <v>6</v>
      </c>
      <c r="S33" s="257">
        <f>Inputs!$D$42</f>
        <v>6</v>
      </c>
      <c r="T33" s="257">
        <f>Inputs!$D$42</f>
        <v>6</v>
      </c>
      <c r="U33" s="257">
        <f>Inputs!$D$42</f>
        <v>6</v>
      </c>
      <c r="V33" s="257">
        <f>Inputs!$D$42</f>
        <v>6</v>
      </c>
      <c r="W33" s="257">
        <f>Inputs!$D$42</f>
        <v>6</v>
      </c>
      <c r="X33" s="257">
        <f>Inputs!$D$42</f>
        <v>6</v>
      </c>
      <c r="Y33" s="257">
        <f>Inputs!$D$42</f>
        <v>6</v>
      </c>
      <c r="Z33" s="257">
        <f>Inputs!$D$42</f>
        <v>6</v>
      </c>
      <c r="AA33" s="257">
        <f>Inputs!$D$42</f>
        <v>6</v>
      </c>
      <c r="AB33" s="257">
        <f>Inputs!$D$42</f>
        <v>6</v>
      </c>
      <c r="AC33" s="257">
        <f>Inputs!$D$42</f>
        <v>6</v>
      </c>
      <c r="AD33" s="257">
        <f>Inputs!$D$42</f>
        <v>6</v>
      </c>
      <c r="AE33" s="257">
        <f>Inputs!$D$42</f>
        <v>6</v>
      </c>
      <c r="AF33" s="258">
        <f>Inputs!$D$42</f>
        <v>6</v>
      </c>
    </row>
    <row r="34" spans="1:32" s="218" customFormat="1" ht="16.5" customHeight="1" x14ac:dyDescent="0.35">
      <c r="B34" s="253" t="s">
        <v>347</v>
      </c>
      <c r="C34" s="255">
        <f>(1+Inputs!$D$43)^(Revenue!C2-1)</f>
        <v>1</v>
      </c>
      <c r="D34" s="255">
        <f>(1+Inputs!$D$43)^(Revenue!D2-1)</f>
        <v>1.02</v>
      </c>
      <c r="E34" s="255">
        <f>(1+Inputs!$D$43)^(Revenue!E2-1)</f>
        <v>1.0404</v>
      </c>
      <c r="F34" s="255">
        <f>(1+Inputs!$D$43)^(Revenue!F2-1)</f>
        <v>1.0612079999999999</v>
      </c>
      <c r="G34" s="255">
        <f>(1+Inputs!$D$43)^(Revenue!G2-1)</f>
        <v>1.08243216</v>
      </c>
      <c r="H34" s="255">
        <f>(1+Inputs!$D$43)^(Revenue!H2-1)</f>
        <v>1.1040808032</v>
      </c>
      <c r="I34" s="255">
        <f>(1+Inputs!$D$43)^(Revenue!I2-1)</f>
        <v>1.1261624192640001</v>
      </c>
      <c r="J34" s="255">
        <f>(1+Inputs!$D$43)^(Revenue!J2-1)</f>
        <v>1.1486856676492798</v>
      </c>
      <c r="K34" s="255">
        <f>(1+Inputs!$D$43)^(Revenue!K2-1)</f>
        <v>1.1716593810022655</v>
      </c>
      <c r="L34" s="255">
        <f>(1+Inputs!$D$43)^(Revenue!L2-1)</f>
        <v>1.1950925686223108</v>
      </c>
      <c r="M34" s="255">
        <f>(1+Inputs!$D$43)^(Revenue!M2-1)</f>
        <v>1.2189944199947571</v>
      </c>
      <c r="N34" s="255">
        <f>(1+Inputs!$D$43)^(Revenue!N2-1)</f>
        <v>1.243374308394652</v>
      </c>
      <c r="O34" s="255">
        <f>(1+Inputs!$D$43)^(Revenue!O2-1)</f>
        <v>1.2682417945625453</v>
      </c>
      <c r="P34" s="255">
        <f>(1+Inputs!$D$43)^(Revenue!P2-1)</f>
        <v>1.2936066304537961</v>
      </c>
      <c r="Q34" s="255">
        <f>(1+Inputs!$D$43)^(Revenue!Q2-1)</f>
        <v>1.3194787630628722</v>
      </c>
      <c r="R34" s="255">
        <f>(1+Inputs!$D$43)^(Revenue!R2-1)</f>
        <v>1.3458683383241292</v>
      </c>
      <c r="S34" s="255">
        <f>(1+Inputs!$D$43)^(Revenue!S2-1)</f>
        <v>1.372785705090612</v>
      </c>
      <c r="T34" s="255">
        <f>(1+Inputs!$D$43)^(Revenue!T2-1)</f>
        <v>1.4002414191924244</v>
      </c>
      <c r="U34" s="255">
        <f>(1+Inputs!$D$43)^(Revenue!U2-1)</f>
        <v>1.4282462475762727</v>
      </c>
      <c r="V34" s="255">
        <f>(1+Inputs!$D$43)^(Revenue!V2-1)</f>
        <v>1.4568111725277981</v>
      </c>
      <c r="W34" s="255">
        <f>(1+Inputs!$D$43)^(Revenue!W2-1)</f>
        <v>1.4859473959783542</v>
      </c>
      <c r="X34" s="255">
        <f>(1+Inputs!$D$43)^(Revenue!X2-1)</f>
        <v>1.5156663438979212</v>
      </c>
      <c r="Y34" s="255">
        <f>(1+Inputs!$D$43)^(Revenue!Y2-1)</f>
        <v>1.5459796707758797</v>
      </c>
      <c r="Z34" s="255">
        <f>(1+Inputs!$D$43)^(Revenue!Z2-1)</f>
        <v>1.576899264191397</v>
      </c>
      <c r="AA34" s="255">
        <f>(1+Inputs!$D$43)^(Revenue!AA2-1)</f>
        <v>1.608437249475225</v>
      </c>
      <c r="AB34" s="255">
        <f>(1+Inputs!$D$43)^(Revenue!AB2-1)</f>
        <v>1.6406059944647295</v>
      </c>
      <c r="AC34" s="255">
        <f>(1+Inputs!$D$43)^(Revenue!AC2-1)</f>
        <v>1.6734181143540243</v>
      </c>
      <c r="AD34" s="255">
        <f>(1+Inputs!$D$43)^(Revenue!AD2-1)</f>
        <v>1.7068864766411045</v>
      </c>
      <c r="AE34" s="255">
        <f>(1+Inputs!$D$43)^(Revenue!AE2-1)</f>
        <v>1.7410242061739269</v>
      </c>
      <c r="AF34" s="256">
        <f>(1+Inputs!$D$43)^(Revenue!AF2-1)</f>
        <v>1.7758446902974052</v>
      </c>
    </row>
    <row r="35" spans="1:32" s="218" customFormat="1" ht="16.5" customHeight="1" x14ac:dyDescent="0.35">
      <c r="B35" s="251" t="s">
        <v>348</v>
      </c>
      <c r="C35" s="257">
        <f t="shared" ref="C35:AF35" si="10">C33*C34</f>
        <v>6</v>
      </c>
      <c r="D35" s="257">
        <f t="shared" si="10"/>
        <v>6.12</v>
      </c>
      <c r="E35" s="257">
        <f t="shared" si="10"/>
        <v>6.2423999999999999</v>
      </c>
      <c r="F35" s="257">
        <f t="shared" si="10"/>
        <v>6.367248</v>
      </c>
      <c r="G35" s="257">
        <f t="shared" si="10"/>
        <v>6.4945929600000003</v>
      </c>
      <c r="H35" s="257">
        <f t="shared" si="10"/>
        <v>6.6244848192000001</v>
      </c>
      <c r="I35" s="257">
        <f t="shared" si="10"/>
        <v>6.756974515584</v>
      </c>
      <c r="J35" s="257">
        <f t="shared" si="10"/>
        <v>6.8921140058956789</v>
      </c>
      <c r="K35" s="257">
        <f t="shared" si="10"/>
        <v>7.0299562860135936</v>
      </c>
      <c r="L35" s="257">
        <f t="shared" si="10"/>
        <v>7.170555411733865</v>
      </c>
      <c r="M35" s="257">
        <f t="shared" si="10"/>
        <v>7.3139665199685426</v>
      </c>
      <c r="N35" s="257">
        <f t="shared" si="10"/>
        <v>7.4602458503679117</v>
      </c>
      <c r="O35" s="257">
        <f t="shared" si="10"/>
        <v>7.6094507673752716</v>
      </c>
      <c r="P35" s="257">
        <f t="shared" si="10"/>
        <v>7.7616397827227761</v>
      </c>
      <c r="Q35" s="257">
        <f t="shared" si="10"/>
        <v>7.9168725783772329</v>
      </c>
      <c r="R35" s="257">
        <f t="shared" si="10"/>
        <v>8.0752100299447758</v>
      </c>
      <c r="S35" s="257">
        <f t="shared" si="10"/>
        <v>8.2367142305436722</v>
      </c>
      <c r="T35" s="257">
        <f t="shared" si="10"/>
        <v>8.4014485151545468</v>
      </c>
      <c r="U35" s="257">
        <f t="shared" si="10"/>
        <v>8.5694774854576359</v>
      </c>
      <c r="V35" s="257">
        <f t="shared" si="10"/>
        <v>8.7408670351667883</v>
      </c>
      <c r="W35" s="257">
        <f t="shared" si="10"/>
        <v>8.915684375870125</v>
      </c>
      <c r="X35" s="257">
        <f t="shared" si="10"/>
        <v>9.0939980633875273</v>
      </c>
      <c r="Y35" s="257">
        <f t="shared" si="10"/>
        <v>9.2758780246552774</v>
      </c>
      <c r="Z35" s="257">
        <f t="shared" si="10"/>
        <v>9.4613955851483826</v>
      </c>
      <c r="AA35" s="257">
        <f t="shared" si="10"/>
        <v>9.6506234968513507</v>
      </c>
      <c r="AB35" s="257">
        <f t="shared" si="10"/>
        <v>9.8436359667883764</v>
      </c>
      <c r="AC35" s="257">
        <f t="shared" si="10"/>
        <v>10.040508686124145</v>
      </c>
      <c r="AD35" s="257">
        <f t="shared" si="10"/>
        <v>10.241318859846627</v>
      </c>
      <c r="AE35" s="257">
        <f t="shared" si="10"/>
        <v>10.446145237043561</v>
      </c>
      <c r="AF35" s="258">
        <f t="shared" si="10"/>
        <v>10.655068141784431</v>
      </c>
    </row>
    <row r="36" spans="1:32" s="218" customFormat="1" ht="18" customHeight="1" x14ac:dyDescent="0.35">
      <c r="B36" s="259" t="s">
        <v>349</v>
      </c>
      <c r="C36" s="308">
        <f t="shared" ref="C36:AF36" si="11">C32*C35*12*1000</f>
        <v>3240000</v>
      </c>
      <c r="D36" s="308">
        <f t="shared" si="11"/>
        <v>3304799.9999999995</v>
      </c>
      <c r="E36" s="308">
        <f t="shared" si="11"/>
        <v>3370896</v>
      </c>
      <c r="F36" s="308">
        <f t="shared" si="11"/>
        <v>3438313.92</v>
      </c>
      <c r="G36" s="308">
        <f t="shared" si="11"/>
        <v>3507080.1984000001</v>
      </c>
      <c r="H36" s="308">
        <f t="shared" si="11"/>
        <v>3577221.8023679997</v>
      </c>
      <c r="I36" s="308">
        <f t="shared" si="11"/>
        <v>3648766.23841536</v>
      </c>
      <c r="J36" s="308">
        <f t="shared" si="11"/>
        <v>3721741.5631836667</v>
      </c>
      <c r="K36" s="308">
        <f t="shared" si="11"/>
        <v>3796176.3944473406</v>
      </c>
      <c r="L36" s="308">
        <f t="shared" si="11"/>
        <v>3872099.9223362873</v>
      </c>
      <c r="M36" s="308">
        <f t="shared" si="11"/>
        <v>3949541.9207830126</v>
      </c>
      <c r="N36" s="308">
        <f t="shared" si="11"/>
        <v>4028532.7591986726</v>
      </c>
      <c r="O36" s="308">
        <f t="shared" si="11"/>
        <v>4109103.4143826463</v>
      </c>
      <c r="P36" s="308">
        <f t="shared" si="11"/>
        <v>4191285.4826702997</v>
      </c>
      <c r="Q36" s="308">
        <f t="shared" si="11"/>
        <v>4275111.1923237061</v>
      </c>
      <c r="R36" s="308">
        <f t="shared" si="11"/>
        <v>4360613.4161701789</v>
      </c>
      <c r="S36" s="308">
        <f t="shared" si="11"/>
        <v>4447825.6844935827</v>
      </c>
      <c r="T36" s="308">
        <f t="shared" si="11"/>
        <v>4536782.1981834546</v>
      </c>
      <c r="U36" s="308">
        <f t="shared" si="11"/>
        <v>4627517.8421471231</v>
      </c>
      <c r="V36" s="308">
        <f t="shared" si="11"/>
        <v>4720068.1989900656</v>
      </c>
      <c r="W36" s="308">
        <f t="shared" si="11"/>
        <v>4814469.5629698671</v>
      </c>
      <c r="X36" s="308">
        <f t="shared" si="11"/>
        <v>4910758.9542292645</v>
      </c>
      <c r="Y36" s="308">
        <f t="shared" si="11"/>
        <v>5008974.1333138496</v>
      </c>
      <c r="Z36" s="308">
        <f t="shared" si="11"/>
        <v>5109153.6159801269</v>
      </c>
      <c r="AA36" s="308">
        <f t="shared" si="11"/>
        <v>5211336.6882997286</v>
      </c>
      <c r="AB36" s="308">
        <f t="shared" si="11"/>
        <v>5315563.4220657228</v>
      </c>
      <c r="AC36" s="308">
        <f t="shared" si="11"/>
        <v>5421874.6905070385</v>
      </c>
      <c r="AD36" s="308">
        <f t="shared" si="11"/>
        <v>5530312.184317179</v>
      </c>
      <c r="AE36" s="308">
        <f t="shared" si="11"/>
        <v>5640918.4280035226</v>
      </c>
      <c r="AF36" s="309">
        <f t="shared" si="11"/>
        <v>5753736.7965635927</v>
      </c>
    </row>
    <row r="37" spans="1:32" s="144" customFormat="1" ht="16.5" customHeight="1" x14ac:dyDescent="0.35">
      <c r="B37" s="168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</row>
    <row r="38" spans="1:32" s="165" customFormat="1" ht="16.5" customHeight="1" thickBot="1" x14ac:dyDescent="0.4">
      <c r="A38" s="82" t="s">
        <v>350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 spans="1:32" s="218" customFormat="1" ht="16.5" customHeight="1" x14ac:dyDescent="0.35">
      <c r="B39" s="251" t="s">
        <v>351</v>
      </c>
      <c r="C39" s="262">
        <f>Inputs!$D$22</f>
        <v>50</v>
      </c>
      <c r="D39" s="262">
        <f>Inputs!$D$22</f>
        <v>50</v>
      </c>
      <c r="E39" s="262">
        <f>Inputs!$D$22</f>
        <v>50</v>
      </c>
      <c r="F39" s="262">
        <f>Inputs!$D$22</f>
        <v>50</v>
      </c>
      <c r="G39" s="262">
        <f>Inputs!$D$22</f>
        <v>50</v>
      </c>
      <c r="H39" s="262">
        <f>Inputs!$D$22</f>
        <v>50</v>
      </c>
      <c r="I39" s="262">
        <f>Inputs!$D$22</f>
        <v>50</v>
      </c>
      <c r="J39" s="262">
        <f>Inputs!$D$22</f>
        <v>50</v>
      </c>
      <c r="K39" s="262">
        <f>Inputs!$D$22</f>
        <v>50</v>
      </c>
      <c r="L39" s="262">
        <f>Inputs!$D$22</f>
        <v>50</v>
      </c>
      <c r="M39" s="262">
        <f>Inputs!$D$22</f>
        <v>50</v>
      </c>
      <c r="N39" s="262">
        <f>Inputs!$D$22</f>
        <v>50</v>
      </c>
      <c r="O39" s="262">
        <f>Inputs!$D$22</f>
        <v>50</v>
      </c>
      <c r="P39" s="262">
        <f>Inputs!$D$22</f>
        <v>50</v>
      </c>
      <c r="Q39" s="262">
        <f>Inputs!$D$22</f>
        <v>50</v>
      </c>
      <c r="R39" s="262">
        <f>Inputs!$D$22</f>
        <v>50</v>
      </c>
      <c r="S39" s="262">
        <f>Inputs!$D$22</f>
        <v>50</v>
      </c>
      <c r="T39" s="262">
        <f>Inputs!$D$22</f>
        <v>50</v>
      </c>
      <c r="U39" s="262">
        <f>Inputs!$D$22</f>
        <v>50</v>
      </c>
      <c r="V39" s="262">
        <f>Inputs!$D$22</f>
        <v>50</v>
      </c>
      <c r="W39" s="262">
        <f>Inputs!$D$22</f>
        <v>50</v>
      </c>
      <c r="X39" s="262">
        <f>Inputs!$D$22</f>
        <v>50</v>
      </c>
      <c r="Y39" s="262">
        <f>Inputs!$D$22</f>
        <v>50</v>
      </c>
      <c r="Z39" s="262">
        <f>Inputs!$D$22</f>
        <v>50</v>
      </c>
      <c r="AA39" s="262">
        <f>Inputs!$D$22</f>
        <v>50</v>
      </c>
      <c r="AB39" s="262">
        <f>Inputs!$D$22</f>
        <v>50</v>
      </c>
      <c r="AC39" s="262">
        <f>Inputs!$D$22</f>
        <v>50</v>
      </c>
      <c r="AD39" s="262">
        <f>Inputs!$D$22</f>
        <v>50</v>
      </c>
      <c r="AE39" s="262">
        <f>Inputs!$D$22</f>
        <v>50</v>
      </c>
      <c r="AF39" s="263">
        <f>Inputs!$D$22</f>
        <v>50</v>
      </c>
    </row>
    <row r="40" spans="1:32" s="218" customFormat="1" ht="16.5" customHeight="1" x14ac:dyDescent="0.35">
      <c r="B40" s="253" t="s">
        <v>352</v>
      </c>
      <c r="C40" s="264">
        <f>(1-Inputs!$D$26)^(Revenue!C2-1)</f>
        <v>1</v>
      </c>
      <c r="D40" s="264">
        <f>(1-Inputs!$D$26)^(Revenue!D2-1)</f>
        <v>0.97499999999999998</v>
      </c>
      <c r="E40" s="264">
        <f>(1-Inputs!$D$26)^(Revenue!E2-1)</f>
        <v>0.95062499999999994</v>
      </c>
      <c r="F40" s="264">
        <f>(1-Inputs!$D$26)^(Revenue!F2-1)</f>
        <v>0.92685937499999993</v>
      </c>
      <c r="G40" s="264">
        <f>(1-Inputs!$D$26)^(Revenue!G2-1)</f>
        <v>0.90368789062499988</v>
      </c>
      <c r="H40" s="264">
        <f>(1-Inputs!$D$26)^(Revenue!H2-1)</f>
        <v>0.88109569335937488</v>
      </c>
      <c r="I40" s="264">
        <f>(1-Inputs!$D$26)^(Revenue!I2-1)</f>
        <v>0.85906830102539045</v>
      </c>
      <c r="J40" s="264">
        <f>(1-Inputs!$D$26)^(Revenue!J2-1)</f>
        <v>0.83759159349975565</v>
      </c>
      <c r="K40" s="264">
        <f>(1-Inputs!$D$26)^(Revenue!K2-1)</f>
        <v>0.81665180366226175</v>
      </c>
      <c r="L40" s="264">
        <f>(1-Inputs!$D$26)^(Revenue!L2-1)</f>
        <v>0.79623550857070524</v>
      </c>
      <c r="M40" s="264">
        <f>(1-Inputs!$D$26)^(Revenue!M2-1)</f>
        <v>0.77632962085643753</v>
      </c>
      <c r="N40" s="264">
        <f>(1-Inputs!$D$26)^(Revenue!N2-1)</f>
        <v>0.75692138033502654</v>
      </c>
      <c r="O40" s="264">
        <f>(1-Inputs!$D$26)^(Revenue!O2-1)</f>
        <v>0.73799834582665091</v>
      </c>
      <c r="P40" s="264">
        <f>(1-Inputs!$D$26)^(Revenue!P2-1)</f>
        <v>0.71954838718098457</v>
      </c>
      <c r="Q40" s="264">
        <f>(1-Inputs!$D$26)^(Revenue!Q2-1)</f>
        <v>0.70155967750145998</v>
      </c>
      <c r="R40" s="264">
        <f>(1-Inputs!$D$26)^(Revenue!R2-1)</f>
        <v>0.68402068556392337</v>
      </c>
      <c r="S40" s="264">
        <f>(1-Inputs!$D$26)^(Revenue!S2-1)</f>
        <v>0.66692016842482538</v>
      </c>
      <c r="T40" s="264">
        <f>(1-Inputs!$D$26)^(Revenue!T2-1)</f>
        <v>0.6502471642142047</v>
      </c>
      <c r="U40" s="264">
        <f>(1-Inputs!$D$26)^(Revenue!U2-1)</f>
        <v>0.63399098510884955</v>
      </c>
      <c r="V40" s="264">
        <f>(1-Inputs!$D$26)^(Revenue!V2-1)</f>
        <v>0.61814121048112836</v>
      </c>
      <c r="W40" s="264">
        <f>(1-Inputs!$D$26)^(Revenue!W2-1)</f>
        <v>0.60268768021910013</v>
      </c>
      <c r="X40" s="264">
        <f>(1-Inputs!$D$26)^(Revenue!X2-1)</f>
        <v>0.58762048821362256</v>
      </c>
      <c r="Y40" s="264">
        <f>(1-Inputs!$D$26)^(Revenue!Y2-1)</f>
        <v>0.57292997600828199</v>
      </c>
      <c r="Z40" s="264">
        <f>(1-Inputs!$D$26)^(Revenue!Z2-1)</f>
        <v>0.55860672660807487</v>
      </c>
      <c r="AA40" s="264">
        <f>(1-Inputs!$D$26)^(Revenue!AA2-1)</f>
        <v>0.54464155844287299</v>
      </c>
      <c r="AB40" s="264">
        <f>(1-Inputs!$D$26)^(Revenue!AB2-1)</f>
        <v>0.53102551948180121</v>
      </c>
      <c r="AC40" s="264">
        <f>(1-Inputs!$D$26)^(Revenue!AC2-1)</f>
        <v>0.51774988149475609</v>
      </c>
      <c r="AD40" s="264">
        <f>(1-Inputs!$D$26)^(Revenue!AD2-1)</f>
        <v>0.5048061344573872</v>
      </c>
      <c r="AE40" s="264">
        <f>(1-Inputs!$D$26)^(Revenue!AE2-1)</f>
        <v>0.49218598109595257</v>
      </c>
      <c r="AF40" s="265">
        <f>(1-Inputs!$D$26)^(Revenue!AF2-1)</f>
        <v>0.47988133156855367</v>
      </c>
    </row>
    <row r="41" spans="1:32" s="218" customFormat="1" ht="16.5" customHeight="1" x14ac:dyDescent="0.35">
      <c r="B41" s="251" t="s">
        <v>353</v>
      </c>
      <c r="C41" s="266">
        <f t="shared" ref="C41:AF41" si="12">C40*C39</f>
        <v>50</v>
      </c>
      <c r="D41" s="266">
        <f t="shared" si="12"/>
        <v>48.75</v>
      </c>
      <c r="E41" s="266">
        <f t="shared" si="12"/>
        <v>47.53125</v>
      </c>
      <c r="F41" s="266">
        <f t="shared" si="12"/>
        <v>46.342968749999997</v>
      </c>
      <c r="G41" s="266">
        <f t="shared" si="12"/>
        <v>45.184394531249993</v>
      </c>
      <c r="H41" s="266">
        <f t="shared" si="12"/>
        <v>44.054784667968747</v>
      </c>
      <c r="I41" s="266">
        <f t="shared" si="12"/>
        <v>42.953415051269523</v>
      </c>
      <c r="J41" s="266">
        <f t="shared" si="12"/>
        <v>41.879579674987781</v>
      </c>
      <c r="K41" s="266">
        <f t="shared" si="12"/>
        <v>40.832590183113091</v>
      </c>
      <c r="L41" s="266">
        <f t="shared" si="12"/>
        <v>39.811775428535263</v>
      </c>
      <c r="M41" s="266">
        <f t="shared" si="12"/>
        <v>38.816481042821877</v>
      </c>
      <c r="N41" s="266">
        <f t="shared" si="12"/>
        <v>37.846069016751329</v>
      </c>
      <c r="O41" s="266">
        <f t="shared" si="12"/>
        <v>36.899917291332542</v>
      </c>
      <c r="P41" s="266">
        <f t="shared" si="12"/>
        <v>35.977419359049229</v>
      </c>
      <c r="Q41" s="266">
        <f t="shared" si="12"/>
        <v>35.077983875073002</v>
      </c>
      <c r="R41" s="266">
        <f t="shared" si="12"/>
        <v>34.201034278196168</v>
      </c>
      <c r="S41" s="266">
        <f t="shared" si="12"/>
        <v>33.346008421241265</v>
      </c>
      <c r="T41" s="266">
        <f t="shared" si="12"/>
        <v>32.512358210710232</v>
      </c>
      <c r="U41" s="266">
        <f t="shared" si="12"/>
        <v>31.699549255442477</v>
      </c>
      <c r="V41" s="266">
        <f t="shared" si="12"/>
        <v>30.907060524056419</v>
      </c>
      <c r="W41" s="266">
        <f t="shared" si="12"/>
        <v>30.134384010955007</v>
      </c>
      <c r="X41" s="266">
        <f t="shared" si="12"/>
        <v>29.381024410681128</v>
      </c>
      <c r="Y41" s="266">
        <f t="shared" si="12"/>
        <v>28.646498800414101</v>
      </c>
      <c r="Z41" s="266">
        <f t="shared" si="12"/>
        <v>27.930336330403744</v>
      </c>
      <c r="AA41" s="266">
        <f t="shared" si="12"/>
        <v>27.232077922143649</v>
      </c>
      <c r="AB41" s="266">
        <f t="shared" si="12"/>
        <v>26.551275974090061</v>
      </c>
      <c r="AC41" s="266">
        <f t="shared" si="12"/>
        <v>25.887494074737806</v>
      </c>
      <c r="AD41" s="266">
        <f t="shared" si="12"/>
        <v>25.240306722869359</v>
      </c>
      <c r="AE41" s="266">
        <f t="shared" si="12"/>
        <v>24.609299054797628</v>
      </c>
      <c r="AF41" s="267">
        <f t="shared" si="12"/>
        <v>23.994066578427685</v>
      </c>
    </row>
    <row r="42" spans="1:32" s="218" customFormat="1" ht="16.5" customHeight="1" x14ac:dyDescent="0.35">
      <c r="B42" s="253" t="s">
        <v>354</v>
      </c>
      <c r="C42" s="268">
        <f>Inputs!$D$47</f>
        <v>0.3</v>
      </c>
      <c r="D42" s="268">
        <f>Inputs!$D$47</f>
        <v>0.3</v>
      </c>
      <c r="E42" s="268">
        <f>Inputs!$D$47</f>
        <v>0.3</v>
      </c>
      <c r="F42" s="268">
        <f>Inputs!$D$47</f>
        <v>0.3</v>
      </c>
      <c r="G42" s="268">
        <f>Inputs!$D$47</f>
        <v>0.3</v>
      </c>
      <c r="H42" s="268">
        <f>Inputs!$D$47</f>
        <v>0.3</v>
      </c>
      <c r="I42" s="268">
        <f>Inputs!$D$47</f>
        <v>0.3</v>
      </c>
      <c r="J42" s="268">
        <f>Inputs!$D$47</f>
        <v>0.3</v>
      </c>
      <c r="K42" s="268">
        <f>Inputs!$D$47</f>
        <v>0.3</v>
      </c>
      <c r="L42" s="268">
        <f>Inputs!$D$47</f>
        <v>0.3</v>
      </c>
      <c r="M42" s="268">
        <f>Inputs!$D$47</f>
        <v>0.3</v>
      </c>
      <c r="N42" s="268">
        <f>Inputs!$D$47</f>
        <v>0.3</v>
      </c>
      <c r="O42" s="268">
        <f>Inputs!$D$47</f>
        <v>0.3</v>
      </c>
      <c r="P42" s="268">
        <f>Inputs!$D$47</f>
        <v>0.3</v>
      </c>
      <c r="Q42" s="268">
        <f>Inputs!$D$47</f>
        <v>0.3</v>
      </c>
      <c r="R42" s="268">
        <f>Inputs!$D$47</f>
        <v>0.3</v>
      </c>
      <c r="S42" s="268">
        <f>Inputs!$D$47</f>
        <v>0.3</v>
      </c>
      <c r="T42" s="268">
        <f>Inputs!$D$47</f>
        <v>0.3</v>
      </c>
      <c r="U42" s="268">
        <f>Inputs!$D$47</f>
        <v>0.3</v>
      </c>
      <c r="V42" s="268">
        <f>Inputs!$D$47</f>
        <v>0.3</v>
      </c>
      <c r="W42" s="268">
        <f>Inputs!$D$47</f>
        <v>0.3</v>
      </c>
      <c r="X42" s="268">
        <f>Inputs!$D$47</f>
        <v>0.3</v>
      </c>
      <c r="Y42" s="268">
        <f>Inputs!$D$47</f>
        <v>0.3</v>
      </c>
      <c r="Z42" s="268">
        <f>Inputs!$D$47</f>
        <v>0.3</v>
      </c>
      <c r="AA42" s="268">
        <f>Inputs!$D$47</f>
        <v>0.3</v>
      </c>
      <c r="AB42" s="268">
        <f>Inputs!$D$47</f>
        <v>0.3</v>
      </c>
      <c r="AC42" s="268">
        <f>Inputs!$D$47</f>
        <v>0.3</v>
      </c>
      <c r="AD42" s="268">
        <f>Inputs!$D$47</f>
        <v>0.3</v>
      </c>
      <c r="AE42" s="268">
        <f>Inputs!$D$47</f>
        <v>0.3</v>
      </c>
      <c r="AF42" s="269">
        <f>Inputs!$D$47</f>
        <v>0.3</v>
      </c>
    </row>
    <row r="43" spans="1:32" s="218" customFormat="1" ht="16.5" customHeight="1" x14ac:dyDescent="0.35">
      <c r="B43" s="251" t="s">
        <v>355</v>
      </c>
      <c r="C43" s="262">
        <f t="shared" ref="C43:AF43" si="13">C41*C42</f>
        <v>15</v>
      </c>
      <c r="D43" s="262">
        <f t="shared" si="13"/>
        <v>14.625</v>
      </c>
      <c r="E43" s="262">
        <f t="shared" si="13"/>
        <v>14.259375</v>
      </c>
      <c r="F43" s="262">
        <f t="shared" si="13"/>
        <v>13.902890625</v>
      </c>
      <c r="G43" s="262">
        <f t="shared" si="13"/>
        <v>13.555318359374997</v>
      </c>
      <c r="H43" s="262">
        <f t="shared" si="13"/>
        <v>13.216435400390624</v>
      </c>
      <c r="I43" s="262">
        <f t="shared" si="13"/>
        <v>12.886024515380857</v>
      </c>
      <c r="J43" s="262">
        <f t="shared" si="13"/>
        <v>12.563873902496335</v>
      </c>
      <c r="K43" s="262">
        <f t="shared" si="13"/>
        <v>12.249777054933928</v>
      </c>
      <c r="L43" s="262">
        <f t="shared" si="13"/>
        <v>11.943532628560579</v>
      </c>
      <c r="M43" s="262">
        <f t="shared" si="13"/>
        <v>11.644944312846564</v>
      </c>
      <c r="N43" s="262">
        <f t="shared" si="13"/>
        <v>11.353820705025399</v>
      </c>
      <c r="O43" s="262">
        <f t="shared" si="13"/>
        <v>11.069975187399763</v>
      </c>
      <c r="P43" s="262">
        <f t="shared" si="13"/>
        <v>10.793225807714768</v>
      </c>
      <c r="Q43" s="262">
        <f t="shared" si="13"/>
        <v>10.523395162521901</v>
      </c>
      <c r="R43" s="262">
        <f t="shared" si="13"/>
        <v>10.26031028345885</v>
      </c>
      <c r="S43" s="262">
        <f t="shared" si="13"/>
        <v>10.003802526372379</v>
      </c>
      <c r="T43" s="262">
        <f t="shared" si="13"/>
        <v>9.75370746321307</v>
      </c>
      <c r="U43" s="262">
        <f t="shared" si="13"/>
        <v>9.5098647766327424</v>
      </c>
      <c r="V43" s="262">
        <f t="shared" si="13"/>
        <v>9.2721181572169247</v>
      </c>
      <c r="W43" s="262">
        <f t="shared" si="13"/>
        <v>9.040315203286502</v>
      </c>
      <c r="X43" s="262">
        <f t="shared" si="13"/>
        <v>8.8143073232043374</v>
      </c>
      <c r="Y43" s="262">
        <f t="shared" si="13"/>
        <v>8.5939496401242295</v>
      </c>
      <c r="Z43" s="262">
        <f t="shared" si="13"/>
        <v>8.3791008991211235</v>
      </c>
      <c r="AA43" s="262">
        <f t="shared" si="13"/>
        <v>8.169623376643095</v>
      </c>
      <c r="AB43" s="262">
        <f t="shared" si="13"/>
        <v>7.9653827922270182</v>
      </c>
      <c r="AC43" s="262">
        <f t="shared" si="13"/>
        <v>7.7662482224213409</v>
      </c>
      <c r="AD43" s="262">
        <f t="shared" si="13"/>
        <v>7.5720920168608075</v>
      </c>
      <c r="AE43" s="262">
        <f t="shared" si="13"/>
        <v>7.3827897164392882</v>
      </c>
      <c r="AF43" s="263">
        <f t="shared" si="13"/>
        <v>7.198219973528305</v>
      </c>
    </row>
    <row r="44" spans="1:32" s="310" customFormat="1" ht="16.5" customHeight="1" x14ac:dyDescent="0.35">
      <c r="B44" s="253" t="s">
        <v>356</v>
      </c>
      <c r="C44" s="270">
        <f>Inputs!$D$45</f>
        <v>75</v>
      </c>
      <c r="D44" s="270">
        <f>Inputs!$D$45</f>
        <v>75</v>
      </c>
      <c r="E44" s="270">
        <f>Inputs!$D$45</f>
        <v>75</v>
      </c>
      <c r="F44" s="270">
        <f>Inputs!$D$45</f>
        <v>75</v>
      </c>
      <c r="G44" s="270">
        <f>Inputs!$D$45</f>
        <v>75</v>
      </c>
      <c r="H44" s="270">
        <f>Inputs!$D$45</f>
        <v>75</v>
      </c>
      <c r="I44" s="270">
        <f>Inputs!$D$45</f>
        <v>75</v>
      </c>
      <c r="J44" s="270">
        <f>Inputs!$D$45</f>
        <v>75</v>
      </c>
      <c r="K44" s="270">
        <f>Inputs!$D$45</f>
        <v>75</v>
      </c>
      <c r="L44" s="270">
        <f>Inputs!$D$45</f>
        <v>75</v>
      </c>
      <c r="M44" s="270">
        <f>Inputs!$D$45</f>
        <v>75</v>
      </c>
      <c r="N44" s="270">
        <f>Inputs!$D$45</f>
        <v>75</v>
      </c>
      <c r="O44" s="270">
        <f>Inputs!$D$45</f>
        <v>75</v>
      </c>
      <c r="P44" s="270">
        <f>Inputs!$D$45</f>
        <v>75</v>
      </c>
      <c r="Q44" s="270">
        <f>Inputs!$D$45</f>
        <v>75</v>
      </c>
      <c r="R44" s="270">
        <f>Inputs!$D$45</f>
        <v>75</v>
      </c>
      <c r="S44" s="270">
        <f>Inputs!$D$45</f>
        <v>75</v>
      </c>
      <c r="T44" s="270">
        <f>Inputs!$D$45</f>
        <v>75</v>
      </c>
      <c r="U44" s="270">
        <f>Inputs!$D$45</f>
        <v>75</v>
      </c>
      <c r="V44" s="270">
        <f>Inputs!$D$45</f>
        <v>75</v>
      </c>
      <c r="W44" s="270">
        <f>Inputs!$D$45</f>
        <v>75</v>
      </c>
      <c r="X44" s="270">
        <f>Inputs!$D$45</f>
        <v>75</v>
      </c>
      <c r="Y44" s="270">
        <f>Inputs!$D$45</f>
        <v>75</v>
      </c>
      <c r="Z44" s="270">
        <f>Inputs!$D$45</f>
        <v>75</v>
      </c>
      <c r="AA44" s="270">
        <f>Inputs!$D$45</f>
        <v>75</v>
      </c>
      <c r="AB44" s="270">
        <f>Inputs!$D$45</f>
        <v>75</v>
      </c>
      <c r="AC44" s="270">
        <f>Inputs!$D$45</f>
        <v>75</v>
      </c>
      <c r="AD44" s="270">
        <f>Inputs!$D$45</f>
        <v>75</v>
      </c>
      <c r="AE44" s="270">
        <f>Inputs!$D$45</f>
        <v>75</v>
      </c>
      <c r="AF44" s="270">
        <f>Inputs!$D$45</f>
        <v>75</v>
      </c>
    </row>
    <row r="45" spans="1:32" s="218" customFormat="1" ht="16.5" customHeight="1" x14ac:dyDescent="0.35">
      <c r="B45" s="251" t="s">
        <v>357</v>
      </c>
      <c r="C45" s="271">
        <f>(1+Inputs!$D$46)^(Revenue!C2-1)</f>
        <v>1</v>
      </c>
      <c r="D45" s="271">
        <f>(1+Inputs!$D$46)^(Revenue!D2-1)</f>
        <v>1.0149999999999999</v>
      </c>
      <c r="E45" s="271">
        <f>(1+Inputs!$D$46)^(Revenue!E2-1)</f>
        <v>1.0302249999999997</v>
      </c>
      <c r="F45" s="271">
        <f>(1+Inputs!$D$46)^(Revenue!F2-1)</f>
        <v>1.0456783749999996</v>
      </c>
      <c r="G45" s="271">
        <f>(1+Inputs!$D$46)^(Revenue!G2-1)</f>
        <v>1.0613635506249994</v>
      </c>
      <c r="H45" s="271">
        <f>(1+Inputs!$D$46)^(Revenue!H2-1)</f>
        <v>1.0772840038843743</v>
      </c>
      <c r="I45" s="271">
        <f>(1+Inputs!$D$46)^(Revenue!I2-1)</f>
        <v>1.0934432639426397</v>
      </c>
      <c r="J45" s="271">
        <f>(1+Inputs!$D$46)^(Revenue!J2-1)</f>
        <v>1.1098449129017791</v>
      </c>
      <c r="K45" s="271">
        <f>(1+Inputs!$D$46)^(Revenue!K2-1)</f>
        <v>1.1264925865953057</v>
      </c>
      <c r="L45" s="271">
        <f>(1+Inputs!$D$46)^(Revenue!L2-1)</f>
        <v>1.1433899753942351</v>
      </c>
      <c r="M45" s="271">
        <f>(1+Inputs!$D$46)^(Revenue!M2-1)</f>
        <v>1.1605408250251485</v>
      </c>
      <c r="N45" s="271">
        <f>(1+Inputs!$D$46)^(Revenue!N2-1)</f>
        <v>1.1779489374005256</v>
      </c>
      <c r="O45" s="271">
        <f>(1+Inputs!$D$46)^(Revenue!O2-1)</f>
        <v>1.1956181714615333</v>
      </c>
      <c r="P45" s="271">
        <f>(1+Inputs!$D$46)^(Revenue!P2-1)</f>
        <v>1.2135524440334562</v>
      </c>
      <c r="Q45" s="271">
        <f>(1+Inputs!$D$46)^(Revenue!Q2-1)</f>
        <v>1.2317557306939577</v>
      </c>
      <c r="R45" s="271">
        <f>(1+Inputs!$D$46)^(Revenue!R2-1)</f>
        <v>1.2502320666543669</v>
      </c>
      <c r="S45" s="271">
        <f>(1+Inputs!$D$46)^(Revenue!S2-1)</f>
        <v>1.2689855476541823</v>
      </c>
      <c r="T45" s="271">
        <f>(1+Inputs!$D$46)^(Revenue!T2-1)</f>
        <v>1.2880203308689948</v>
      </c>
      <c r="U45" s="271">
        <f>(1+Inputs!$D$46)^(Revenue!U2-1)</f>
        <v>1.3073406358320296</v>
      </c>
      <c r="V45" s="271">
        <f>(1+Inputs!$D$46)^(Revenue!V2-1)</f>
        <v>1.32695074536951</v>
      </c>
      <c r="W45" s="271">
        <f>(1+Inputs!$D$46)^(Revenue!W2-1)</f>
        <v>1.3468550065500522</v>
      </c>
      <c r="X45" s="271">
        <f>(1+Inputs!$D$46)^(Revenue!X2-1)</f>
        <v>1.3670578316483029</v>
      </c>
      <c r="Y45" s="271">
        <f>(1+Inputs!$D$46)^(Revenue!Y2-1)</f>
        <v>1.3875636991230271</v>
      </c>
      <c r="Z45" s="271">
        <f>(1+Inputs!$D$46)^(Revenue!Z2-1)</f>
        <v>1.4083771546098725</v>
      </c>
      <c r="AA45" s="271">
        <f>(1+Inputs!$D$46)^(Revenue!AA2-1)</f>
        <v>1.4295028119290203</v>
      </c>
      <c r="AB45" s="271">
        <f>(1+Inputs!$D$46)^(Revenue!AB2-1)</f>
        <v>1.4509453541079556</v>
      </c>
      <c r="AC45" s="271">
        <f>(1+Inputs!$D$46)^(Revenue!AC2-1)</f>
        <v>1.4727095344195746</v>
      </c>
      <c r="AD45" s="271">
        <f>(1+Inputs!$D$46)^(Revenue!AD2-1)</f>
        <v>1.4948001774358681</v>
      </c>
      <c r="AE45" s="271">
        <f>(1+Inputs!$D$46)^(Revenue!AE2-1)</f>
        <v>1.5172221800974057</v>
      </c>
      <c r="AF45" s="272">
        <f>(1+Inputs!$D$46)^(Revenue!AF2-1)</f>
        <v>1.5399805127988668</v>
      </c>
    </row>
    <row r="46" spans="1:32" s="310" customFormat="1" ht="16.5" customHeight="1" x14ac:dyDescent="0.35">
      <c r="B46" s="253" t="s">
        <v>358</v>
      </c>
      <c r="C46" s="270">
        <f t="shared" ref="C46:AF46" si="14">C44*C45</f>
        <v>75</v>
      </c>
      <c r="D46" s="270">
        <f t="shared" si="14"/>
        <v>76.124999999999986</v>
      </c>
      <c r="E46" s="270">
        <f t="shared" si="14"/>
        <v>77.266874999999985</v>
      </c>
      <c r="F46" s="270">
        <f t="shared" si="14"/>
        <v>78.425878124999969</v>
      </c>
      <c r="G46" s="270">
        <f t="shared" si="14"/>
        <v>79.602266296874959</v>
      </c>
      <c r="H46" s="270">
        <f t="shared" si="14"/>
        <v>80.796300291328066</v>
      </c>
      <c r="I46" s="270">
        <f t="shared" si="14"/>
        <v>82.008244795697976</v>
      </c>
      <c r="J46" s="270">
        <f t="shared" si="14"/>
        <v>83.238368467633435</v>
      </c>
      <c r="K46" s="270">
        <f t="shared" si="14"/>
        <v>84.48694399464793</v>
      </c>
      <c r="L46" s="270">
        <f t="shared" si="14"/>
        <v>85.754248154567634</v>
      </c>
      <c r="M46" s="270">
        <f t="shared" si="14"/>
        <v>87.040561876886144</v>
      </c>
      <c r="N46" s="270">
        <f t="shared" si="14"/>
        <v>88.346170305039422</v>
      </c>
      <c r="O46" s="270">
        <f t="shared" si="14"/>
        <v>89.671362859615002</v>
      </c>
      <c r="P46" s="270">
        <f t="shared" si="14"/>
        <v>91.016433302509213</v>
      </c>
      <c r="Q46" s="270">
        <f t="shared" si="14"/>
        <v>92.381679802046833</v>
      </c>
      <c r="R46" s="270">
        <f t="shared" si="14"/>
        <v>93.767404999077513</v>
      </c>
      <c r="S46" s="270">
        <f t="shared" si="14"/>
        <v>95.173916074063669</v>
      </c>
      <c r="T46" s="270">
        <f t="shared" si="14"/>
        <v>96.601524815174614</v>
      </c>
      <c r="U46" s="270">
        <f t="shared" si="14"/>
        <v>98.050547687402229</v>
      </c>
      <c r="V46" s="270">
        <f t="shared" si="14"/>
        <v>99.521305902713252</v>
      </c>
      <c r="W46" s="270">
        <f t="shared" si="14"/>
        <v>101.01412549125392</v>
      </c>
      <c r="X46" s="270">
        <f t="shared" si="14"/>
        <v>102.52933737362271</v>
      </c>
      <c r="Y46" s="270">
        <f t="shared" si="14"/>
        <v>104.06727743422704</v>
      </c>
      <c r="Z46" s="270">
        <f t="shared" si="14"/>
        <v>105.62828659574043</v>
      </c>
      <c r="AA46" s="270">
        <f t="shared" si="14"/>
        <v>107.21271089467652</v>
      </c>
      <c r="AB46" s="270">
        <f t="shared" si="14"/>
        <v>108.82090155809666</v>
      </c>
      <c r="AC46" s="270">
        <f t="shared" si="14"/>
        <v>110.4532150814681</v>
      </c>
      <c r="AD46" s="270">
        <f t="shared" si="14"/>
        <v>112.11001330769011</v>
      </c>
      <c r="AE46" s="270">
        <f t="shared" si="14"/>
        <v>113.79166350730543</v>
      </c>
      <c r="AF46" s="270">
        <f t="shared" si="14"/>
        <v>115.49853845991501</v>
      </c>
    </row>
    <row r="47" spans="1:32" s="310" customFormat="1" ht="18" customHeight="1" x14ac:dyDescent="0.35">
      <c r="B47" s="259" t="s">
        <v>359</v>
      </c>
      <c r="C47" s="273">
        <f t="shared" ref="C47:AF47" si="15">C43*C46*1000</f>
        <v>1125000</v>
      </c>
      <c r="D47" s="273">
        <f t="shared" si="15"/>
        <v>1113328.1249999998</v>
      </c>
      <c r="E47" s="273">
        <f t="shared" si="15"/>
        <v>1101777.3457031248</v>
      </c>
      <c r="F47" s="273">
        <f t="shared" si="15"/>
        <v>1090346.4057414546</v>
      </c>
      <c r="G47" s="273">
        <f t="shared" si="15"/>
        <v>1079034.0617818867</v>
      </c>
      <c r="H47" s="273">
        <f t="shared" si="15"/>
        <v>1067839.0833908995</v>
      </c>
      <c r="I47" s="273">
        <f t="shared" si="15"/>
        <v>1056760.2529007187</v>
      </c>
      <c r="J47" s="273">
        <f t="shared" si="15"/>
        <v>1045796.3652768736</v>
      </c>
      <c r="K47" s="273">
        <f t="shared" si="15"/>
        <v>1034946.2279871259</v>
      </c>
      <c r="L47" s="273">
        <f t="shared" si="15"/>
        <v>1024208.6608717593</v>
      </c>
      <c r="M47" s="273">
        <f t="shared" si="15"/>
        <v>1013582.4960152147</v>
      </c>
      <c r="N47" s="273">
        <f t="shared" si="15"/>
        <v>1003066.5776190566</v>
      </c>
      <c r="O47" s="273">
        <f t="shared" si="15"/>
        <v>992659.76187625865</v>
      </c>
      <c r="P47" s="273">
        <f t="shared" si="15"/>
        <v>982360.91684679233</v>
      </c>
      <c r="Q47" s="273">
        <f t="shared" si="15"/>
        <v>972168.92233450676</v>
      </c>
      <c r="R47" s="273">
        <f t="shared" si="15"/>
        <v>962082.6697652858</v>
      </c>
      <c r="S47" s="273">
        <f t="shared" si="15"/>
        <v>952101.06206647097</v>
      </c>
      <c r="T47" s="273">
        <f t="shared" si="15"/>
        <v>942223.01354753121</v>
      </c>
      <c r="U47" s="273">
        <f t="shared" si="15"/>
        <v>932447.44978197548</v>
      </c>
      <c r="V47" s="273">
        <f t="shared" si="15"/>
        <v>922773.30749048747</v>
      </c>
      <c r="W47" s="273">
        <f t="shared" si="15"/>
        <v>913199.53442527342</v>
      </c>
      <c r="X47" s="273">
        <f t="shared" si="15"/>
        <v>903725.08925561083</v>
      </c>
      <c r="Y47" s="273">
        <f t="shared" si="15"/>
        <v>894348.94145458378</v>
      </c>
      <c r="Z47" s="273">
        <f t="shared" si="15"/>
        <v>885070.07118699246</v>
      </c>
      <c r="AA47" s="273">
        <f t="shared" si="15"/>
        <v>875887.46919842705</v>
      </c>
      <c r="AB47" s="273">
        <f t="shared" si="15"/>
        <v>866800.13670549355</v>
      </c>
      <c r="AC47" s="273">
        <f t="shared" si="15"/>
        <v>857807.08528717363</v>
      </c>
      <c r="AD47" s="273">
        <f t="shared" si="15"/>
        <v>848907.3367773192</v>
      </c>
      <c r="AE47" s="273">
        <f t="shared" si="15"/>
        <v>840099.92315825436</v>
      </c>
      <c r="AF47" s="273">
        <f t="shared" si="15"/>
        <v>831383.88645548734</v>
      </c>
    </row>
    <row r="48" spans="1:32" s="144" customFormat="1" ht="16.5" customHeight="1" x14ac:dyDescent="0.35">
      <c r="B48" s="145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</row>
    <row r="49" spans="1:32" ht="16.5" customHeight="1" x14ac:dyDescent="0.35">
      <c r="B49" s="142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</row>
    <row r="50" spans="1:32" ht="18" customHeight="1" x14ac:dyDescent="0.35">
      <c r="A50" s="315"/>
      <c r="B50" s="316" t="s">
        <v>360</v>
      </c>
      <c r="C50" s="275">
        <f t="shared" ref="C50:AF50" si="16">C11+C29+C36+C47</f>
        <v>17720253.640000001</v>
      </c>
      <c r="D50" s="275">
        <f t="shared" si="16"/>
        <v>17816790.7243305</v>
      </c>
      <c r="E50" s="275">
        <f t="shared" si="16"/>
        <v>17915031.744148258</v>
      </c>
      <c r="F50" s="275">
        <f t="shared" si="16"/>
        <v>18015004.530321814</v>
      </c>
      <c r="G50" s="275">
        <f t="shared" si="16"/>
        <v>18116737.404669497</v>
      </c>
      <c r="H50" s="275">
        <f t="shared" si="16"/>
        <v>18220259.19115442</v>
      </c>
      <c r="I50" s="275">
        <f t="shared" si="16"/>
        <v>18325599.227272239</v>
      </c>
      <c r="J50" s="275">
        <f t="shared" si="16"/>
        <v>18432787.375635799</v>
      </c>
      <c r="K50" s="275">
        <f t="shared" si="16"/>
        <v>18541854.035761416</v>
      </c>
      <c r="L50" s="275">
        <f t="shared" si="16"/>
        <v>18652830.156061094</v>
      </c>
      <c r="M50" s="275">
        <f t="shared" si="16"/>
        <v>18765747.246045575</v>
      </c>
      <c r="N50" s="275">
        <f t="shared" si="16"/>
        <v>18880637.388742764</v>
      </c>
      <c r="O50" s="275">
        <f t="shared" si="16"/>
        <v>18997533.253336441</v>
      </c>
      <c r="P50" s="275">
        <f t="shared" si="16"/>
        <v>19116468.108030133</v>
      </c>
      <c r="Q50" s="275">
        <f t="shared" si="16"/>
        <v>19237475.833141141</v>
      </c>
      <c r="R50" s="275">
        <f t="shared" si="16"/>
        <v>19360590.934429813</v>
      </c>
      <c r="S50" s="275">
        <f t="shared" si="16"/>
        <v>19485848.556669276</v>
      </c>
      <c r="T50" s="275">
        <f t="shared" si="16"/>
        <v>19613284.497460742</v>
      </c>
      <c r="U50" s="275">
        <f t="shared" si="16"/>
        <v>19742935.221300032</v>
      </c>
      <c r="V50" s="275">
        <f t="shared" si="16"/>
        <v>19874837.873900536</v>
      </c>
      <c r="W50" s="275">
        <f t="shared" si="16"/>
        <v>14746810.481365051</v>
      </c>
      <c r="X50" s="275">
        <f t="shared" si="16"/>
        <v>14786825.601588773</v>
      </c>
      <c r="Y50" s="275">
        <f t="shared" si="16"/>
        <v>14829082.907555871</v>
      </c>
      <c r="Z50" s="275">
        <f t="shared" si="16"/>
        <v>14873620.036164388</v>
      </c>
      <c r="AA50" s="275">
        <f t="shared" si="16"/>
        <v>14920475.378206762</v>
      </c>
      <c r="AB50" s="275">
        <f t="shared" si="16"/>
        <v>14969688.094293939</v>
      </c>
      <c r="AC50" s="275">
        <f t="shared" si="16"/>
        <v>15021298.131077224</v>
      </c>
      <c r="AD50" s="275">
        <f t="shared" si="16"/>
        <v>15075346.237774234</v>
      </c>
      <c r="AE50" s="275">
        <f t="shared" si="16"/>
        <v>15131873.98300539</v>
      </c>
      <c r="AF50" s="275">
        <f t="shared" si="16"/>
        <v>15190923.771947499</v>
      </c>
    </row>
  </sheetData>
  <mergeCells count="1">
    <mergeCell ref="A1:A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AG28"/>
  <sheetViews>
    <sheetView showGridLines="0" zoomScaleNormal="10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B12" sqref="B12"/>
    </sheetView>
  </sheetViews>
  <sheetFormatPr defaultColWidth="8.7265625" defaultRowHeight="14.5" x14ac:dyDescent="0.35"/>
  <cols>
    <col min="1" max="1" width="2" customWidth="1"/>
    <col min="2" max="2" width="32" customWidth="1"/>
    <col min="3" max="32" width="12" customWidth="1"/>
  </cols>
  <sheetData>
    <row r="1" spans="1:33" ht="27.75" customHeight="1" thickBot="1" x14ac:dyDescent="0.4">
      <c r="A1" s="512" t="s">
        <v>361</v>
      </c>
      <c r="B1" s="512"/>
      <c r="C1" s="512"/>
      <c r="D1" s="512"/>
      <c r="E1" s="512"/>
      <c r="F1" s="512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513"/>
      <c r="AC1" s="513"/>
      <c r="AD1" s="513"/>
      <c r="AE1" s="513"/>
      <c r="AF1" s="513"/>
      <c r="AG1" s="170"/>
    </row>
    <row r="2" spans="1:33" ht="16.5" customHeight="1" thickBot="1" x14ac:dyDescent="0.4">
      <c r="A2" s="82" t="s">
        <v>249</v>
      </c>
      <c r="B2" s="82"/>
      <c r="C2" s="82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</row>
    <row r="3" spans="1:33" ht="18" customHeight="1" x14ac:dyDescent="0.35">
      <c r="B3" s="282" t="s">
        <v>362</v>
      </c>
      <c r="C3" s="282"/>
    </row>
    <row r="4" spans="1:33" ht="16.5" customHeight="1" x14ac:dyDescent="0.35">
      <c r="B4" s="253" t="s">
        <v>363</v>
      </c>
      <c r="C4" s="276">
        <f>(Inputs!$D$12*1000*1000)*Inputs!$D$51</f>
        <v>96000000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</row>
    <row r="5" spans="1:33" ht="16.5" customHeight="1" x14ac:dyDescent="0.35">
      <c r="B5" s="251" t="s">
        <v>364</v>
      </c>
      <c r="C5" s="257">
        <f>(Inputs!$D$23*1000)*Inputs!$D$52</f>
        <v>46000000</v>
      </c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</row>
    <row r="6" spans="1:33" ht="18" customHeight="1" x14ac:dyDescent="0.35">
      <c r="B6" s="278" t="s">
        <v>366</v>
      </c>
      <c r="C6" s="279">
        <f>SUM(C4:C5)</f>
        <v>142000000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</row>
    <row r="7" spans="1:33" ht="16.5" customHeight="1" x14ac:dyDescent="0.35">
      <c r="B7" s="251" t="s">
        <v>368</v>
      </c>
      <c r="C7" s="257">
        <f>Inputs!$D$53*1000000</f>
        <v>15000000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3" ht="16.5" customHeight="1" x14ac:dyDescent="0.35">
      <c r="B8" s="253" t="s">
        <v>369</v>
      </c>
      <c r="C8" s="276">
        <f>Inputs!$D$54*1000000</f>
        <v>5000000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</row>
    <row r="9" spans="1:33" ht="16.5" customHeight="1" x14ac:dyDescent="0.35">
      <c r="B9" s="251" t="s">
        <v>370</v>
      </c>
      <c r="C9" s="257">
        <f>C6*Inputs!$D$55</f>
        <v>7100000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3" ht="18" customHeight="1" x14ac:dyDescent="0.35">
      <c r="B10" s="278" t="s">
        <v>371</v>
      </c>
      <c r="C10" s="279">
        <f>SUM(C7:C9)</f>
        <v>27100000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</row>
    <row r="11" spans="1:33" ht="18" customHeight="1" x14ac:dyDescent="0.35">
      <c r="B11" s="280" t="s">
        <v>372</v>
      </c>
      <c r="C11" s="281">
        <f>C6+C10</f>
        <v>169100000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</row>
    <row r="12" spans="1:33" ht="16.5" customHeight="1" x14ac:dyDescent="0.35">
      <c r="B12" s="253" t="s">
        <v>373</v>
      </c>
      <c r="C12" s="277">
        <f>Inputs!$D$56*1000000</f>
        <v>3000000</v>
      </c>
      <c r="D12" s="171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</row>
    <row r="13" spans="1:33" ht="18" customHeight="1" x14ac:dyDescent="0.35">
      <c r="B13" s="274" t="s">
        <v>374</v>
      </c>
      <c r="C13" s="275">
        <f>C11+C12</f>
        <v>172100000</v>
      </c>
      <c r="D13" s="172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</row>
    <row r="14" spans="1:33" ht="16.5" customHeight="1" x14ac:dyDescent="0.35">
      <c r="A14" s="144"/>
      <c r="B14" s="145"/>
      <c r="C14" s="146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3" ht="16.5" customHeight="1" x14ac:dyDescent="0.35">
      <c r="B15" s="142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3" ht="18" customHeight="1" thickBot="1" x14ac:dyDescent="0.4">
      <c r="B16" s="290" t="s">
        <v>303</v>
      </c>
      <c r="C16" s="290">
        <v>1</v>
      </c>
      <c r="D16" s="290">
        <v>2</v>
      </c>
      <c r="E16" s="290">
        <v>3</v>
      </c>
      <c r="F16" s="290">
        <v>4</v>
      </c>
      <c r="G16" s="290">
        <v>5</v>
      </c>
      <c r="H16" s="290">
        <v>6</v>
      </c>
      <c r="I16" s="290">
        <v>7</v>
      </c>
      <c r="J16" s="290">
        <v>8</v>
      </c>
      <c r="K16" s="290">
        <v>9</v>
      </c>
      <c r="L16" s="290">
        <v>10</v>
      </c>
      <c r="M16" s="290">
        <v>11</v>
      </c>
      <c r="N16" s="290">
        <v>12</v>
      </c>
      <c r="O16" s="290">
        <v>13</v>
      </c>
      <c r="P16" s="290">
        <v>14</v>
      </c>
      <c r="Q16" s="290">
        <v>15</v>
      </c>
      <c r="R16" s="290">
        <v>16</v>
      </c>
      <c r="S16" s="290">
        <v>17</v>
      </c>
      <c r="T16" s="290">
        <v>18</v>
      </c>
      <c r="U16" s="290">
        <v>19</v>
      </c>
      <c r="V16" s="290">
        <v>20</v>
      </c>
      <c r="W16" s="290">
        <v>21</v>
      </c>
      <c r="X16" s="290">
        <v>22</v>
      </c>
      <c r="Y16" s="290">
        <v>23</v>
      </c>
      <c r="Z16" s="290">
        <v>24</v>
      </c>
      <c r="AA16" s="290">
        <v>25</v>
      </c>
      <c r="AB16" s="290">
        <v>26</v>
      </c>
      <c r="AC16" s="290">
        <v>27</v>
      </c>
      <c r="AD16" s="290">
        <v>28</v>
      </c>
      <c r="AE16" s="290">
        <v>29</v>
      </c>
      <c r="AF16" s="290">
        <v>30</v>
      </c>
      <c r="AG16" s="170"/>
    </row>
    <row r="17" spans="1:33" ht="16.5" customHeight="1" thickBot="1" x14ac:dyDescent="0.4">
      <c r="A17" s="82" t="s">
        <v>258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170"/>
    </row>
    <row r="18" spans="1:33" ht="16.5" customHeight="1" x14ac:dyDescent="0.35">
      <c r="B18" s="253" t="s">
        <v>375</v>
      </c>
      <c r="C18" s="283">
        <f>(1+Inputs!$D$65)^(Costs!C16-1)</f>
        <v>1</v>
      </c>
      <c r="D18" s="283">
        <f>(1+Inputs!$D$65)^(Costs!D16-1)</f>
        <v>1.02</v>
      </c>
      <c r="E18" s="283">
        <f>(1+Inputs!$D$65)^(Costs!E16-1)</f>
        <v>1.0404</v>
      </c>
      <c r="F18" s="283">
        <f>(1+Inputs!$D$65)^(Costs!F16-1)</f>
        <v>1.0612079999999999</v>
      </c>
      <c r="G18" s="283">
        <f>(1+Inputs!$D$65)^(Costs!G16-1)</f>
        <v>1.08243216</v>
      </c>
      <c r="H18" s="283">
        <f>(1+Inputs!$D$65)^(Costs!H16-1)</f>
        <v>1.1040808032</v>
      </c>
      <c r="I18" s="283">
        <f>(1+Inputs!$D$65)^(Costs!I16-1)</f>
        <v>1.1261624192640001</v>
      </c>
      <c r="J18" s="283">
        <f>(1+Inputs!$D$65)^(Costs!J16-1)</f>
        <v>1.1486856676492798</v>
      </c>
      <c r="K18" s="283">
        <f>(1+Inputs!$D$65)^(Costs!K16-1)</f>
        <v>1.1716593810022655</v>
      </c>
      <c r="L18" s="283">
        <f>(1+Inputs!$D$65)^(Costs!L16-1)</f>
        <v>1.1950925686223108</v>
      </c>
      <c r="M18" s="283">
        <f>(1+Inputs!$D$65)^(Costs!M16-1)</f>
        <v>1.2189944199947571</v>
      </c>
      <c r="N18" s="283">
        <f>(1+Inputs!$D$65)^(Costs!N16-1)</f>
        <v>1.243374308394652</v>
      </c>
      <c r="O18" s="283">
        <f>(1+Inputs!$D$65)^(Costs!O16-1)</f>
        <v>1.2682417945625453</v>
      </c>
      <c r="P18" s="283">
        <f>(1+Inputs!$D$65)^(Costs!P16-1)</f>
        <v>1.2936066304537961</v>
      </c>
      <c r="Q18" s="283">
        <f>(1+Inputs!$D$65)^(Costs!Q16-1)</f>
        <v>1.3194787630628722</v>
      </c>
      <c r="R18" s="283">
        <f>(1+Inputs!$D$65)^(Costs!R16-1)</f>
        <v>1.3458683383241292</v>
      </c>
      <c r="S18" s="283">
        <f>(1+Inputs!$D$65)^(Costs!S16-1)</f>
        <v>1.372785705090612</v>
      </c>
      <c r="T18" s="283">
        <f>(1+Inputs!$D$65)^(Costs!T16-1)</f>
        <v>1.4002414191924244</v>
      </c>
      <c r="U18" s="283">
        <f>(1+Inputs!$D$65)^(Costs!U16-1)</f>
        <v>1.4282462475762727</v>
      </c>
      <c r="V18" s="283">
        <f>(1+Inputs!$D$65)^(Costs!V16-1)</f>
        <v>1.4568111725277981</v>
      </c>
      <c r="W18" s="283">
        <f>(1+Inputs!$D$65)^(Costs!W16-1)</f>
        <v>1.4859473959783542</v>
      </c>
      <c r="X18" s="283">
        <f>(1+Inputs!$D$65)^(Costs!X16-1)</f>
        <v>1.5156663438979212</v>
      </c>
      <c r="Y18" s="283">
        <f>(1+Inputs!$D$65)^(Costs!Y16-1)</f>
        <v>1.5459796707758797</v>
      </c>
      <c r="Z18" s="283">
        <f>(1+Inputs!$D$65)^(Costs!Z16-1)</f>
        <v>1.576899264191397</v>
      </c>
      <c r="AA18" s="283">
        <f>(1+Inputs!$D$65)^(Costs!AA16-1)</f>
        <v>1.608437249475225</v>
      </c>
      <c r="AB18" s="283">
        <f>(1+Inputs!$D$65)^(Costs!AB16-1)</f>
        <v>1.6406059944647295</v>
      </c>
      <c r="AC18" s="283">
        <f>(1+Inputs!$D$65)^(Costs!AC16-1)</f>
        <v>1.6734181143540243</v>
      </c>
      <c r="AD18" s="283">
        <f>(1+Inputs!$D$65)^(Costs!AD16-1)</f>
        <v>1.7068864766411045</v>
      </c>
      <c r="AE18" s="283">
        <f>(1+Inputs!$D$65)^(Costs!AE16-1)</f>
        <v>1.7410242061739269</v>
      </c>
      <c r="AF18" s="284">
        <f>(1+Inputs!$D$65)^(Costs!AF16-1)</f>
        <v>1.7758446902974052</v>
      </c>
      <c r="AG18" s="170"/>
    </row>
    <row r="19" spans="1:33" ht="16.5" customHeight="1" x14ac:dyDescent="0.35">
      <c r="B19" s="251" t="s">
        <v>376</v>
      </c>
      <c r="C19" s="257">
        <f>Inputs!$D$58*Inputs!$D$11*1000*Costs!C18</f>
        <v>1000000</v>
      </c>
      <c r="D19" s="257">
        <f>Inputs!$D$58*Inputs!$D$11*1000*Costs!D18</f>
        <v>1020000</v>
      </c>
      <c r="E19" s="257">
        <f>Inputs!$D$58*Inputs!$D$11*1000*Costs!E18</f>
        <v>1040400</v>
      </c>
      <c r="F19" s="257">
        <f>Inputs!$D$58*Inputs!$D$11*1000*Costs!F18</f>
        <v>1061208</v>
      </c>
      <c r="G19" s="257">
        <f>Inputs!$D$58*Inputs!$D$11*1000*Costs!G18</f>
        <v>1082432.1599999999</v>
      </c>
      <c r="H19" s="257">
        <f>Inputs!$D$58*Inputs!$D$11*1000*Costs!H18</f>
        <v>1104080.8032</v>
      </c>
      <c r="I19" s="257">
        <f>Inputs!$D$58*Inputs!$D$11*1000*Costs!I18</f>
        <v>1126162.4192640001</v>
      </c>
      <c r="J19" s="257">
        <f>Inputs!$D$58*Inputs!$D$11*1000*Costs!J18</f>
        <v>1148685.6676492798</v>
      </c>
      <c r="K19" s="257">
        <f>Inputs!$D$58*Inputs!$D$11*1000*Costs!K18</f>
        <v>1171659.3810022655</v>
      </c>
      <c r="L19" s="257">
        <f>Inputs!$D$58*Inputs!$D$11*1000*Costs!L18</f>
        <v>1195092.5686223109</v>
      </c>
      <c r="M19" s="257">
        <f>Inputs!$D$58*Inputs!$D$11*1000*Costs!M18</f>
        <v>1218994.419994757</v>
      </c>
      <c r="N19" s="257">
        <f>Inputs!$D$58*Inputs!$D$11*1000*Costs!N18</f>
        <v>1243374.3083946521</v>
      </c>
      <c r="O19" s="257">
        <f>Inputs!$D$58*Inputs!$D$11*1000*Costs!O18</f>
        <v>1268241.7945625454</v>
      </c>
      <c r="P19" s="257">
        <f>Inputs!$D$58*Inputs!$D$11*1000*Costs!P18</f>
        <v>1293606.6304537961</v>
      </c>
      <c r="Q19" s="257">
        <f>Inputs!$D$58*Inputs!$D$11*1000*Costs!Q18</f>
        <v>1319478.7630628722</v>
      </c>
      <c r="R19" s="257">
        <f>Inputs!$D$58*Inputs!$D$11*1000*Costs!R18</f>
        <v>1345868.3383241291</v>
      </c>
      <c r="S19" s="257">
        <f>Inputs!$D$58*Inputs!$D$11*1000*Costs!S18</f>
        <v>1372785.7050906119</v>
      </c>
      <c r="T19" s="257">
        <f>Inputs!$D$58*Inputs!$D$11*1000*Costs!T18</f>
        <v>1400241.4191924245</v>
      </c>
      <c r="U19" s="257">
        <f>Inputs!$D$58*Inputs!$D$11*1000*Costs!U18</f>
        <v>1428246.2475762728</v>
      </c>
      <c r="V19" s="257">
        <f>Inputs!$D$58*Inputs!$D$11*1000*Costs!V18</f>
        <v>1456811.1725277982</v>
      </c>
      <c r="W19" s="257">
        <f>Inputs!$D$58*Inputs!$D$11*1000*Costs!W18</f>
        <v>1485947.3959783542</v>
      </c>
      <c r="X19" s="257">
        <f>Inputs!$D$58*Inputs!$D$11*1000*Costs!X18</f>
        <v>1515666.3438979213</v>
      </c>
      <c r="Y19" s="257">
        <f>Inputs!$D$58*Inputs!$D$11*1000*Costs!Y18</f>
        <v>1545979.6707758796</v>
      </c>
      <c r="Z19" s="257">
        <f>Inputs!$D$58*Inputs!$D$11*1000*Costs!Z18</f>
        <v>1576899.264191397</v>
      </c>
      <c r="AA19" s="257">
        <f>Inputs!$D$58*Inputs!$D$11*1000*Costs!AA18</f>
        <v>1608437.2494752251</v>
      </c>
      <c r="AB19" s="257">
        <f>Inputs!$D$58*Inputs!$D$11*1000*Costs!AB18</f>
        <v>1640605.9944647294</v>
      </c>
      <c r="AC19" s="257">
        <f>Inputs!$D$58*Inputs!$D$11*1000*Costs!AC18</f>
        <v>1673418.1143540244</v>
      </c>
      <c r="AD19" s="257">
        <f>Inputs!$D$58*Inputs!$D$11*1000*Costs!AD18</f>
        <v>1706886.4766411046</v>
      </c>
      <c r="AE19" s="257">
        <f>Inputs!$D$58*Inputs!$D$11*1000*Costs!AE18</f>
        <v>1741024.2061739271</v>
      </c>
      <c r="AF19" s="258">
        <f>Inputs!$D$58*Inputs!$D$11*1000*Costs!AF18</f>
        <v>1775844.6902974052</v>
      </c>
      <c r="AG19" s="170"/>
    </row>
    <row r="20" spans="1:33" ht="16.5" customHeight="1" x14ac:dyDescent="0.35">
      <c r="B20" s="253" t="s">
        <v>377</v>
      </c>
      <c r="C20" s="276">
        <f>Inputs!$D$59*Inputs!$D$23*1000*Costs!C18</f>
        <v>1600000</v>
      </c>
      <c r="D20" s="276">
        <f>Inputs!$D$59*Inputs!$D$23*1000*Costs!D18</f>
        <v>1632000</v>
      </c>
      <c r="E20" s="276">
        <f>Inputs!$D$59*Inputs!$D$23*1000*Costs!E18</f>
        <v>1664640</v>
      </c>
      <c r="F20" s="276">
        <f>Inputs!$D$59*Inputs!$D$23*1000*Costs!F18</f>
        <v>1697932.7999999998</v>
      </c>
      <c r="G20" s="276">
        <f>Inputs!$D$59*Inputs!$D$23*1000*Costs!G18</f>
        <v>1731891.456</v>
      </c>
      <c r="H20" s="276">
        <f>Inputs!$D$59*Inputs!$D$23*1000*Costs!H18</f>
        <v>1766529.2851200001</v>
      </c>
      <c r="I20" s="276">
        <f>Inputs!$D$59*Inputs!$D$23*1000*Costs!I18</f>
        <v>1801859.8708224001</v>
      </c>
      <c r="J20" s="276">
        <f>Inputs!$D$59*Inputs!$D$23*1000*Costs!J18</f>
        <v>1837897.0682388477</v>
      </c>
      <c r="K20" s="276">
        <f>Inputs!$D$59*Inputs!$D$23*1000*Costs!K18</f>
        <v>1874655.0096036249</v>
      </c>
      <c r="L20" s="276">
        <f>Inputs!$D$59*Inputs!$D$23*1000*Costs!L18</f>
        <v>1912148.1097956973</v>
      </c>
      <c r="M20" s="276">
        <f>Inputs!$D$59*Inputs!$D$23*1000*Costs!M18</f>
        <v>1950391.0719916113</v>
      </c>
      <c r="N20" s="276">
        <f>Inputs!$D$59*Inputs!$D$23*1000*Costs!N18</f>
        <v>1989398.8934314433</v>
      </c>
      <c r="O20" s="276">
        <f>Inputs!$D$59*Inputs!$D$23*1000*Costs!O18</f>
        <v>2029186.8713000724</v>
      </c>
      <c r="P20" s="276">
        <f>Inputs!$D$59*Inputs!$D$23*1000*Costs!P18</f>
        <v>2069770.6087260738</v>
      </c>
      <c r="Q20" s="276">
        <f>Inputs!$D$59*Inputs!$D$23*1000*Costs!Q18</f>
        <v>2111166.0209005955</v>
      </c>
      <c r="R20" s="276">
        <f>Inputs!$D$59*Inputs!$D$23*1000*Costs!R18</f>
        <v>2153389.3413186069</v>
      </c>
      <c r="S20" s="276">
        <f>Inputs!$D$59*Inputs!$D$23*1000*Costs!S18</f>
        <v>2196457.1281449795</v>
      </c>
      <c r="T20" s="276">
        <f>Inputs!$D$59*Inputs!$D$23*1000*Costs!T18</f>
        <v>2240386.2707078792</v>
      </c>
      <c r="U20" s="276">
        <f>Inputs!$D$59*Inputs!$D$23*1000*Costs!U18</f>
        <v>2285193.9961220361</v>
      </c>
      <c r="V20" s="276">
        <f>Inputs!$D$59*Inputs!$D$23*1000*Costs!V18</f>
        <v>2330897.8760444769</v>
      </c>
      <c r="W20" s="276">
        <f>Inputs!$D$59*Inputs!$D$23*1000*Costs!W18</f>
        <v>2377515.8335653669</v>
      </c>
      <c r="X20" s="276">
        <f>Inputs!$D$59*Inputs!$D$23*1000*Costs!X18</f>
        <v>2425066.1502366741</v>
      </c>
      <c r="Y20" s="276">
        <f>Inputs!$D$59*Inputs!$D$23*1000*Costs!Y18</f>
        <v>2473567.4732414074</v>
      </c>
      <c r="Z20" s="276">
        <f>Inputs!$D$59*Inputs!$D$23*1000*Costs!Z18</f>
        <v>2523038.8227062351</v>
      </c>
      <c r="AA20" s="276">
        <f>Inputs!$D$59*Inputs!$D$23*1000*Costs!AA18</f>
        <v>2573499.5991603602</v>
      </c>
      <c r="AB20" s="276">
        <f>Inputs!$D$59*Inputs!$D$23*1000*Costs!AB18</f>
        <v>2624969.5911435671</v>
      </c>
      <c r="AC20" s="276">
        <f>Inputs!$D$59*Inputs!$D$23*1000*Costs!AC18</f>
        <v>2677468.9829664389</v>
      </c>
      <c r="AD20" s="276">
        <f>Inputs!$D$59*Inputs!$D$23*1000*Costs!AD18</f>
        <v>2731018.362625767</v>
      </c>
      <c r="AE20" s="276">
        <f>Inputs!$D$59*Inputs!$D$23*1000*Costs!AE18</f>
        <v>2785638.7298782831</v>
      </c>
      <c r="AF20" s="277">
        <f>Inputs!$D$59*Inputs!$D$23*1000*Costs!AF18</f>
        <v>2841351.5044758483</v>
      </c>
      <c r="AG20" s="170"/>
    </row>
    <row r="21" spans="1:33" ht="16.5" customHeight="1" x14ac:dyDescent="0.35">
      <c r="B21" s="251" t="s">
        <v>378</v>
      </c>
      <c r="C21" s="257">
        <f>Inputs!$D$61*Inputs!$D$60*Costs!C18</f>
        <v>300000</v>
      </c>
      <c r="D21" s="257">
        <f>Inputs!$D$61*Inputs!$D$60*Costs!D18</f>
        <v>306000</v>
      </c>
      <c r="E21" s="257">
        <f>Inputs!$D$61*Inputs!$D$60*Costs!E18</f>
        <v>312120</v>
      </c>
      <c r="F21" s="257">
        <f>Inputs!$D$61*Inputs!$D$60*Costs!F18</f>
        <v>318362.39999999997</v>
      </c>
      <c r="G21" s="257">
        <f>Inputs!$D$61*Inputs!$D$60*Costs!G18</f>
        <v>324729.64799999999</v>
      </c>
      <c r="H21" s="257">
        <f>Inputs!$D$61*Inputs!$D$60*Costs!H18</f>
        <v>331224.24096000002</v>
      </c>
      <c r="I21" s="257">
        <f>Inputs!$D$61*Inputs!$D$60*Costs!I18</f>
        <v>337848.72577920003</v>
      </c>
      <c r="J21" s="257">
        <f>Inputs!$D$61*Inputs!$D$60*Costs!J18</f>
        <v>344605.70029478392</v>
      </c>
      <c r="K21" s="257">
        <f>Inputs!$D$61*Inputs!$D$60*Costs!K18</f>
        <v>351497.81430067966</v>
      </c>
      <c r="L21" s="257">
        <f>Inputs!$D$61*Inputs!$D$60*Costs!L18</f>
        <v>358527.77058669325</v>
      </c>
      <c r="M21" s="257">
        <f>Inputs!$D$61*Inputs!$D$60*Costs!M18</f>
        <v>365698.32599842711</v>
      </c>
      <c r="N21" s="257">
        <f>Inputs!$D$61*Inputs!$D$60*Costs!N18</f>
        <v>373012.29251839558</v>
      </c>
      <c r="O21" s="257">
        <f>Inputs!$D$61*Inputs!$D$60*Costs!O18</f>
        <v>380472.53836876358</v>
      </c>
      <c r="P21" s="257">
        <f>Inputs!$D$61*Inputs!$D$60*Costs!P18</f>
        <v>388081.98913613881</v>
      </c>
      <c r="Q21" s="257">
        <f>Inputs!$D$61*Inputs!$D$60*Costs!Q18</f>
        <v>395843.62891886162</v>
      </c>
      <c r="R21" s="257">
        <f>Inputs!$D$61*Inputs!$D$60*Costs!R18</f>
        <v>403760.50149723876</v>
      </c>
      <c r="S21" s="257">
        <f>Inputs!$D$61*Inputs!$D$60*Costs!S18</f>
        <v>411835.71152718359</v>
      </c>
      <c r="T21" s="257">
        <f>Inputs!$D$61*Inputs!$D$60*Costs!T18</f>
        <v>420072.42575772729</v>
      </c>
      <c r="U21" s="257">
        <f>Inputs!$D$61*Inputs!$D$60*Costs!U18</f>
        <v>428473.87427288183</v>
      </c>
      <c r="V21" s="257">
        <f>Inputs!$D$61*Inputs!$D$60*Costs!V18</f>
        <v>437043.35175833944</v>
      </c>
      <c r="W21" s="257">
        <f>Inputs!$D$61*Inputs!$D$60*Costs!W18</f>
        <v>445784.21879350627</v>
      </c>
      <c r="X21" s="257">
        <f>Inputs!$D$61*Inputs!$D$60*Costs!X18</f>
        <v>454699.90316937637</v>
      </c>
      <c r="Y21" s="257">
        <f>Inputs!$D$61*Inputs!$D$60*Costs!Y18</f>
        <v>463793.90123276389</v>
      </c>
      <c r="Z21" s="257">
        <f>Inputs!$D$61*Inputs!$D$60*Costs!Z18</f>
        <v>473069.77925741911</v>
      </c>
      <c r="AA21" s="257">
        <f>Inputs!$D$61*Inputs!$D$60*Costs!AA18</f>
        <v>482531.17484256753</v>
      </c>
      <c r="AB21" s="257">
        <f>Inputs!$D$61*Inputs!$D$60*Costs!AB18</f>
        <v>492181.79833941889</v>
      </c>
      <c r="AC21" s="257">
        <f>Inputs!$D$61*Inputs!$D$60*Costs!AC18</f>
        <v>502025.43430620729</v>
      </c>
      <c r="AD21" s="257">
        <f>Inputs!$D$61*Inputs!$D$60*Costs!AD18</f>
        <v>512065.94299233134</v>
      </c>
      <c r="AE21" s="257">
        <f>Inputs!$D$61*Inputs!$D$60*Costs!AE18</f>
        <v>522307.26185217808</v>
      </c>
      <c r="AF21" s="258">
        <f>Inputs!$D$61*Inputs!$D$60*Costs!AF18</f>
        <v>532753.40708922152</v>
      </c>
      <c r="AG21" s="170"/>
    </row>
    <row r="22" spans="1:33" ht="16.5" customHeight="1" x14ac:dyDescent="0.35">
      <c r="B22" s="253" t="s">
        <v>379</v>
      </c>
      <c r="C22" s="285">
        <f>$C$13*Inputs!$D$62*Costs!C18</f>
        <v>430250</v>
      </c>
      <c r="D22" s="285">
        <f>$C$13*Inputs!$D$62*Costs!D18</f>
        <v>438855</v>
      </c>
      <c r="E22" s="285">
        <f>$C$13*Inputs!$D$62*Costs!E18</f>
        <v>447632.1</v>
      </c>
      <c r="F22" s="285">
        <f>$C$13*Inputs!$D$62*Costs!F18</f>
        <v>456584.74199999997</v>
      </c>
      <c r="G22" s="285">
        <f>$C$13*Inputs!$D$62*Costs!G18</f>
        <v>465716.43683999998</v>
      </c>
      <c r="H22" s="285">
        <f>$C$13*Inputs!$D$62*Costs!H18</f>
        <v>475030.76557679998</v>
      </c>
      <c r="I22" s="285">
        <f>$C$13*Inputs!$D$62*Costs!I18</f>
        <v>484531.38088833605</v>
      </c>
      <c r="J22" s="285">
        <f>$C$13*Inputs!$D$62*Costs!J18</f>
        <v>494222.00850610266</v>
      </c>
      <c r="K22" s="285">
        <f>$C$13*Inputs!$D$62*Costs!K18</f>
        <v>504106.44867622474</v>
      </c>
      <c r="L22" s="285">
        <f>$C$13*Inputs!$D$62*Costs!L18</f>
        <v>514188.57764974923</v>
      </c>
      <c r="M22" s="285">
        <f>$C$13*Inputs!$D$62*Costs!M18</f>
        <v>524472.3492027442</v>
      </c>
      <c r="N22" s="285">
        <f>$C$13*Inputs!$D$62*Costs!N18</f>
        <v>534961.79618679907</v>
      </c>
      <c r="O22" s="285">
        <f>$C$13*Inputs!$D$62*Costs!O18</f>
        <v>545661.03211053507</v>
      </c>
      <c r="P22" s="285">
        <f>$C$13*Inputs!$D$62*Costs!P18</f>
        <v>556574.25275274576</v>
      </c>
      <c r="Q22" s="285">
        <f>$C$13*Inputs!$D$62*Costs!Q18</f>
        <v>567705.73780780076</v>
      </c>
      <c r="R22" s="285">
        <f>$C$13*Inputs!$D$62*Costs!R18</f>
        <v>579059.85256395664</v>
      </c>
      <c r="S22" s="285">
        <f>$C$13*Inputs!$D$62*Costs!S18</f>
        <v>590641.04961523588</v>
      </c>
      <c r="T22" s="285">
        <f>$C$13*Inputs!$D$62*Costs!T18</f>
        <v>602453.87060754059</v>
      </c>
      <c r="U22" s="285">
        <f>$C$13*Inputs!$D$62*Costs!U18</f>
        <v>614502.94801969139</v>
      </c>
      <c r="V22" s="285">
        <f>$C$13*Inputs!$D$62*Costs!V18</f>
        <v>626793.00698008516</v>
      </c>
      <c r="W22" s="285">
        <f>$C$13*Inputs!$D$62*Costs!W18</f>
        <v>639328.86711968691</v>
      </c>
      <c r="X22" s="285">
        <f>$C$13*Inputs!$D$62*Costs!X18</f>
        <v>652115.4444620806</v>
      </c>
      <c r="Y22" s="285">
        <f>$C$13*Inputs!$D$62*Costs!Y18</f>
        <v>665157.75335132226</v>
      </c>
      <c r="Z22" s="285">
        <f>$C$13*Inputs!$D$62*Costs!Z18</f>
        <v>678460.90841834852</v>
      </c>
      <c r="AA22" s="285">
        <f>$C$13*Inputs!$D$62*Costs!AA18</f>
        <v>692030.12658671557</v>
      </c>
      <c r="AB22" s="285">
        <f>$C$13*Inputs!$D$62*Costs!AB18</f>
        <v>705870.72911844985</v>
      </c>
      <c r="AC22" s="285">
        <f>$C$13*Inputs!$D$62*Costs!AC18</f>
        <v>719988.143700819</v>
      </c>
      <c r="AD22" s="285">
        <f>$C$13*Inputs!$D$62*Costs!AD18</f>
        <v>734387.90657483519</v>
      </c>
      <c r="AE22" s="285">
        <f>$C$13*Inputs!$D$62*Costs!AE18</f>
        <v>749075.66470633203</v>
      </c>
      <c r="AF22" s="286">
        <f>$C$13*Inputs!$D$62*Costs!AF18</f>
        <v>764057.17800045863</v>
      </c>
      <c r="AG22" s="170"/>
    </row>
    <row r="23" spans="1:33" ht="16.5" customHeight="1" x14ac:dyDescent="0.35">
      <c r="B23" s="251" t="s">
        <v>380</v>
      </c>
      <c r="C23" s="257">
        <f>Inputs!$D$63*1000*Costs!C18</f>
        <v>150000</v>
      </c>
      <c r="D23" s="257">
        <f>Inputs!$D$63*1000*Costs!D18</f>
        <v>153000</v>
      </c>
      <c r="E23" s="257">
        <f>Inputs!$D$63*1000*Costs!E18</f>
        <v>156060</v>
      </c>
      <c r="F23" s="257">
        <f>Inputs!$D$63*1000*Costs!F18</f>
        <v>159181.19999999998</v>
      </c>
      <c r="G23" s="257">
        <f>Inputs!$D$63*1000*Costs!G18</f>
        <v>162364.82399999999</v>
      </c>
      <c r="H23" s="257">
        <f>Inputs!$D$63*1000*Costs!H18</f>
        <v>165612.12048000001</v>
      </c>
      <c r="I23" s="257">
        <f>Inputs!$D$63*1000*Costs!I18</f>
        <v>168924.36288960002</v>
      </c>
      <c r="J23" s="257">
        <f>Inputs!$D$63*1000*Costs!J18</f>
        <v>172302.85014739196</v>
      </c>
      <c r="K23" s="257">
        <f>Inputs!$D$63*1000*Costs!K18</f>
        <v>175748.90715033983</v>
      </c>
      <c r="L23" s="257">
        <f>Inputs!$D$63*1000*Costs!L18</f>
        <v>179263.88529334663</v>
      </c>
      <c r="M23" s="257">
        <f>Inputs!$D$63*1000*Costs!M18</f>
        <v>182849.16299921356</v>
      </c>
      <c r="N23" s="257">
        <f>Inputs!$D$63*1000*Costs!N18</f>
        <v>186506.14625919779</v>
      </c>
      <c r="O23" s="257">
        <f>Inputs!$D$63*1000*Costs!O18</f>
        <v>190236.26918438179</v>
      </c>
      <c r="P23" s="257">
        <f>Inputs!$D$63*1000*Costs!P18</f>
        <v>194040.99456806941</v>
      </c>
      <c r="Q23" s="257">
        <f>Inputs!$D$63*1000*Costs!Q18</f>
        <v>197921.81445943081</v>
      </c>
      <c r="R23" s="257">
        <f>Inputs!$D$63*1000*Costs!R18</f>
        <v>201880.25074861938</v>
      </c>
      <c r="S23" s="257">
        <f>Inputs!$D$63*1000*Costs!S18</f>
        <v>205917.8557635918</v>
      </c>
      <c r="T23" s="257">
        <f>Inputs!$D$63*1000*Costs!T18</f>
        <v>210036.21287886365</v>
      </c>
      <c r="U23" s="257">
        <f>Inputs!$D$63*1000*Costs!U18</f>
        <v>214236.93713644092</v>
      </c>
      <c r="V23" s="257">
        <f>Inputs!$D$63*1000*Costs!V18</f>
        <v>218521.67587916972</v>
      </c>
      <c r="W23" s="257">
        <f>Inputs!$D$63*1000*Costs!W18</f>
        <v>222892.10939675313</v>
      </c>
      <c r="X23" s="257">
        <f>Inputs!$D$63*1000*Costs!X18</f>
        <v>227349.95158468818</v>
      </c>
      <c r="Y23" s="257">
        <f>Inputs!$D$63*1000*Costs!Y18</f>
        <v>231896.95061638195</v>
      </c>
      <c r="Z23" s="257">
        <f>Inputs!$D$63*1000*Costs!Z18</f>
        <v>236534.88962870956</v>
      </c>
      <c r="AA23" s="257">
        <f>Inputs!$D$63*1000*Costs!AA18</f>
        <v>241265.58742128377</v>
      </c>
      <c r="AB23" s="257">
        <f>Inputs!$D$63*1000*Costs!AB18</f>
        <v>246090.89916970945</v>
      </c>
      <c r="AC23" s="257">
        <f>Inputs!$D$63*1000*Costs!AC18</f>
        <v>251012.71715310364</v>
      </c>
      <c r="AD23" s="257">
        <f>Inputs!$D$63*1000*Costs!AD18</f>
        <v>256032.97149616567</v>
      </c>
      <c r="AE23" s="257">
        <f>Inputs!$D$63*1000*Costs!AE18</f>
        <v>261153.63092608904</v>
      </c>
      <c r="AF23" s="258">
        <f>Inputs!$D$63*1000*Costs!AF18</f>
        <v>266376.70354461076</v>
      </c>
      <c r="AG23" s="170"/>
    </row>
    <row r="24" spans="1:33" ht="16.5" customHeight="1" x14ac:dyDescent="0.35">
      <c r="B24" s="253" t="s">
        <v>381</v>
      </c>
      <c r="C24" s="276">
        <f>Inputs!$D$64*1000000*Costs!C18</f>
        <v>1000000</v>
      </c>
      <c r="D24" s="276">
        <f>Inputs!$D$64*1000000*Costs!D18</f>
        <v>1020000</v>
      </c>
      <c r="E24" s="276">
        <f>Inputs!$D$64*1000000*Costs!E18</f>
        <v>1040400</v>
      </c>
      <c r="F24" s="276">
        <f>Inputs!$D$64*1000000*Costs!F18</f>
        <v>1061208</v>
      </c>
      <c r="G24" s="276">
        <f>Inputs!$D$64*1000000*Costs!G18</f>
        <v>1082432.1599999999</v>
      </c>
      <c r="H24" s="276">
        <f>Inputs!$D$64*1000000*Costs!H18</f>
        <v>1104080.8032</v>
      </c>
      <c r="I24" s="276">
        <f>Inputs!$D$64*1000000*Costs!I18</f>
        <v>1126162.4192640001</v>
      </c>
      <c r="J24" s="276">
        <f>Inputs!$D$64*1000000*Costs!J18</f>
        <v>1148685.6676492798</v>
      </c>
      <c r="K24" s="276">
        <f>Inputs!$D$64*1000000*Costs!K18</f>
        <v>1171659.3810022655</v>
      </c>
      <c r="L24" s="276">
        <f>Inputs!$D$64*1000000*Costs!L18</f>
        <v>1195092.5686223109</v>
      </c>
      <c r="M24" s="276">
        <f>Inputs!$D$64*1000000*Costs!M18</f>
        <v>1218994.419994757</v>
      </c>
      <c r="N24" s="276">
        <f>Inputs!$D$64*1000000*Costs!N18</f>
        <v>1243374.3083946521</v>
      </c>
      <c r="O24" s="276">
        <f>Inputs!$D$64*1000000*Costs!O18</f>
        <v>1268241.7945625454</v>
      </c>
      <c r="P24" s="276">
        <f>Inputs!$D$64*1000000*Costs!P18</f>
        <v>1293606.6304537961</v>
      </c>
      <c r="Q24" s="276">
        <f>Inputs!$D$64*1000000*Costs!Q18</f>
        <v>1319478.7630628722</v>
      </c>
      <c r="R24" s="276">
        <f>Inputs!$D$64*1000000*Costs!R18</f>
        <v>1345868.3383241291</v>
      </c>
      <c r="S24" s="276">
        <f>Inputs!$D$64*1000000*Costs!S18</f>
        <v>1372785.7050906119</v>
      </c>
      <c r="T24" s="276">
        <f>Inputs!$D$64*1000000*Costs!T18</f>
        <v>1400241.4191924245</v>
      </c>
      <c r="U24" s="276">
        <f>Inputs!$D$64*1000000*Costs!U18</f>
        <v>1428246.2475762728</v>
      </c>
      <c r="V24" s="276">
        <f>Inputs!$D$64*1000000*Costs!V18</f>
        <v>1456811.1725277982</v>
      </c>
      <c r="W24" s="276">
        <f>Inputs!$D$64*1000000*Costs!W18</f>
        <v>1485947.3959783542</v>
      </c>
      <c r="X24" s="276">
        <f>Inputs!$D$64*1000000*Costs!X18</f>
        <v>1515666.3438979213</v>
      </c>
      <c r="Y24" s="276">
        <f>Inputs!$D$64*1000000*Costs!Y18</f>
        <v>1545979.6707758796</v>
      </c>
      <c r="Z24" s="276">
        <f>Inputs!$D$64*1000000*Costs!Z18</f>
        <v>1576899.264191397</v>
      </c>
      <c r="AA24" s="276">
        <f>Inputs!$D$64*1000000*Costs!AA18</f>
        <v>1608437.2494752251</v>
      </c>
      <c r="AB24" s="276">
        <f>Inputs!$D$64*1000000*Costs!AB18</f>
        <v>1640605.9944647294</v>
      </c>
      <c r="AC24" s="276">
        <f>Inputs!$D$64*1000000*Costs!AC18</f>
        <v>1673418.1143540244</v>
      </c>
      <c r="AD24" s="276">
        <f>Inputs!$D$64*1000000*Costs!AD18</f>
        <v>1706886.4766411046</v>
      </c>
      <c r="AE24" s="276">
        <f>Inputs!$D$64*1000000*Costs!AE18</f>
        <v>1741024.2061739271</v>
      </c>
      <c r="AF24" s="277">
        <f>Inputs!$D$64*1000000*Costs!AF18</f>
        <v>1775844.6902974052</v>
      </c>
      <c r="AG24" s="170"/>
    </row>
    <row r="25" spans="1:33" ht="18" customHeight="1" x14ac:dyDescent="0.35">
      <c r="B25" s="274" t="s">
        <v>382</v>
      </c>
      <c r="C25" s="275">
        <f t="shared" ref="C25:AF25" si="0">SUM(C19:C24)</f>
        <v>4480250</v>
      </c>
      <c r="D25" s="275">
        <f t="shared" si="0"/>
        <v>4569855</v>
      </c>
      <c r="E25" s="275">
        <f t="shared" si="0"/>
        <v>4661252.0999999996</v>
      </c>
      <c r="F25" s="275">
        <f t="shared" si="0"/>
        <v>4754477.142</v>
      </c>
      <c r="G25" s="275">
        <f t="shared" si="0"/>
        <v>4849566.6848400002</v>
      </c>
      <c r="H25" s="275">
        <f t="shared" si="0"/>
        <v>4946558.0185368005</v>
      </c>
      <c r="I25" s="275">
        <f t="shared" si="0"/>
        <v>5045489.178907536</v>
      </c>
      <c r="J25" s="275">
        <f t="shared" si="0"/>
        <v>5146398.9624856859</v>
      </c>
      <c r="K25" s="275">
        <f t="shared" si="0"/>
        <v>5249326.9417353999</v>
      </c>
      <c r="L25" s="275">
        <f t="shared" si="0"/>
        <v>5354313.4805701086</v>
      </c>
      <c r="M25" s="275">
        <f t="shared" si="0"/>
        <v>5461399.7501815092</v>
      </c>
      <c r="N25" s="275">
        <f t="shared" si="0"/>
        <v>5570627.7451851396</v>
      </c>
      <c r="O25" s="275">
        <f t="shared" si="0"/>
        <v>5682040.3000888433</v>
      </c>
      <c r="P25" s="275">
        <f t="shared" si="0"/>
        <v>5795681.1060906202</v>
      </c>
      <c r="Q25" s="275">
        <f t="shared" si="0"/>
        <v>5911594.7282124329</v>
      </c>
      <c r="R25" s="275">
        <f t="shared" si="0"/>
        <v>6029826.6227766797</v>
      </c>
      <c r="S25" s="275">
        <f t="shared" si="0"/>
        <v>6150423.1552322153</v>
      </c>
      <c r="T25" s="275">
        <f t="shared" si="0"/>
        <v>6273431.6183368601</v>
      </c>
      <c r="U25" s="275">
        <f t="shared" si="0"/>
        <v>6398900.2507035965</v>
      </c>
      <c r="V25" s="275">
        <f t="shared" si="0"/>
        <v>6526878.2557176678</v>
      </c>
      <c r="W25" s="275">
        <f t="shared" si="0"/>
        <v>6657415.8208320206</v>
      </c>
      <c r="X25" s="275">
        <f t="shared" si="0"/>
        <v>6790564.1372486623</v>
      </c>
      <c r="Y25" s="275">
        <f t="shared" si="0"/>
        <v>6926375.4199936353</v>
      </c>
      <c r="Z25" s="275">
        <f t="shared" si="0"/>
        <v>7064902.9283935074</v>
      </c>
      <c r="AA25" s="275">
        <f t="shared" si="0"/>
        <v>7206200.9869613769</v>
      </c>
      <c r="AB25" s="275">
        <f t="shared" si="0"/>
        <v>7350325.0067006033</v>
      </c>
      <c r="AC25" s="275">
        <f t="shared" si="0"/>
        <v>7497331.5068346178</v>
      </c>
      <c r="AD25" s="275">
        <f t="shared" si="0"/>
        <v>7647278.1369713088</v>
      </c>
      <c r="AE25" s="275">
        <f t="shared" si="0"/>
        <v>7800223.6997107361</v>
      </c>
      <c r="AF25" s="275">
        <f t="shared" si="0"/>
        <v>7956228.1737049492</v>
      </c>
      <c r="AG25" s="170"/>
    </row>
    <row r="26" spans="1:33" ht="16.5" customHeight="1" x14ac:dyDescent="0.35"/>
    <row r="27" spans="1:33" ht="16.5" customHeight="1" x14ac:dyDescent="0.35">
      <c r="B27" s="251" t="s">
        <v>383</v>
      </c>
      <c r="C27" s="288">
        <f>C25/Revenue!C50</f>
        <v>0.25283215979971718</v>
      </c>
      <c r="D27" s="288">
        <f>D25/Revenue!D50</f>
        <v>0.25649147878015055</v>
      </c>
      <c r="E27" s="288">
        <f>E25/Revenue!E50</f>
        <v>0.26018665032634086</v>
      </c>
      <c r="F27" s="288">
        <f>F25/Revenue!F50</f>
        <v>0.26391762122499268</v>
      </c>
      <c r="G27" s="288">
        <f>G25/Revenue!G50</f>
        <v>0.26768432839292844</v>
      </c>
      <c r="H27" s="288">
        <f>H25/Revenue!H50</f>
        <v>0.27148669876980991</v>
      </c>
      <c r="I27" s="288">
        <f>I25/Revenue!I50</f>
        <v>0.27532464921522548</v>
      </c>
      <c r="J27" s="288">
        <f>J25/Revenue!J50</f>
        <v>0.27919808641031274</v>
      </c>
      <c r="K27" s="288">
        <f>K25/Revenue!K50</f>
        <v>0.28310690676407524</v>
      </c>
      <c r="L27" s="288">
        <f>L25/Revenue!L50</f>
        <v>0.2870509963245586</v>
      </c>
      <c r="M27" s="288">
        <f>M25/Revenue!M50</f>
        <v>0.29103023069504286</v>
      </c>
      <c r="N27" s="288">
        <f>N25/Revenue!N50</f>
        <v>0.29504447495541253</v>
      </c>
      <c r="O27" s="288">
        <f>O25/Revenue!O50</f>
        <v>0.29909358358885541</v>
      </c>
      <c r="P27" s="288">
        <f>P25/Revenue!P50</f>
        <v>0.30317740041404745</v>
      </c>
      <c r="Q27" s="288">
        <f>Q25/Revenue!Q50</f>
        <v>0.30729575852297114</v>
      </c>
      <c r="R27" s="288">
        <f>R25/Revenue!R50</f>
        <v>0.31144848022451455</v>
      </c>
      <c r="S27" s="288">
        <f>S25/Revenue!S50</f>
        <v>0.31563537699399574</v>
      </c>
      <c r="T27" s="288">
        <f>T25/Revenue!T50</f>
        <v>0.31985624942875107</v>
      </c>
      <c r="U27" s="288">
        <f>U25/Revenue!U50</f>
        <v>0.32411088720992326</v>
      </c>
      <c r="V27" s="288">
        <f>V25/Revenue!V50</f>
        <v>0.32839906907058131</v>
      </c>
      <c r="W27" s="288">
        <f>W25/Revenue!W50</f>
        <v>0.45144784556936757</v>
      </c>
      <c r="X27" s="288">
        <f>X25/Revenue!X50</f>
        <v>0.45923069090089552</v>
      </c>
      <c r="Y27" s="288">
        <f>Y25/Revenue!Y50</f>
        <v>0.46708049736942503</v>
      </c>
      <c r="Z27" s="288">
        <f>Z25/Revenue!Z50</f>
        <v>0.47499552302772191</v>
      </c>
      <c r="AA27" s="288">
        <f>AA25/Revenue!AA50</f>
        <v>0.48297395386523295</v>
      </c>
      <c r="AB27" s="288">
        <f>AB25/Revenue!AB50</f>
        <v>0.49101390492580527</v>
      </c>
      <c r="AC27" s="288">
        <f>AC25/Revenue!AC50</f>
        <v>0.49911342158395472</v>
      </c>
      <c r="AD27" s="288">
        <f>AD25/Revenue!AD50</f>
        <v>0.50727048097970417</v>
      </c>
      <c r="AE27" s="288">
        <f>AE25/Revenue!AE50</f>
        <v>0.51548299361144356</v>
      </c>
      <c r="AF27" s="289">
        <f>AF25/Revenue!AF50</f>
        <v>0.52374880508566657</v>
      </c>
      <c r="AG27" s="170"/>
    </row>
    <row r="28" spans="1:33" ht="16.5" customHeight="1" x14ac:dyDescent="0.35">
      <c r="B28" s="253" t="s">
        <v>384</v>
      </c>
      <c r="C28" s="276">
        <f>C25</f>
        <v>4480250</v>
      </c>
      <c r="D28" s="276">
        <f t="shared" ref="D28:AF28" si="1">C28+D25</f>
        <v>9050105</v>
      </c>
      <c r="E28" s="276">
        <f t="shared" si="1"/>
        <v>13711357.1</v>
      </c>
      <c r="F28" s="276">
        <f t="shared" si="1"/>
        <v>18465834.241999999</v>
      </c>
      <c r="G28" s="276">
        <f t="shared" si="1"/>
        <v>23315400.92684</v>
      </c>
      <c r="H28" s="276">
        <f t="shared" si="1"/>
        <v>28261958.945376799</v>
      </c>
      <c r="I28" s="276">
        <f t="shared" si="1"/>
        <v>33307448.124284334</v>
      </c>
      <c r="J28" s="276">
        <f t="shared" si="1"/>
        <v>38453847.08677002</v>
      </c>
      <c r="K28" s="276">
        <f t="shared" si="1"/>
        <v>43703174.028505422</v>
      </c>
      <c r="L28" s="276">
        <f t="shared" si="1"/>
        <v>49057487.50907553</v>
      </c>
      <c r="M28" s="276">
        <f t="shared" si="1"/>
        <v>54518887.259257041</v>
      </c>
      <c r="N28" s="276">
        <f t="shared" si="1"/>
        <v>60089515.004442178</v>
      </c>
      <c r="O28" s="276">
        <f t="shared" si="1"/>
        <v>65771555.304531023</v>
      </c>
      <c r="P28" s="276">
        <f t="shared" si="1"/>
        <v>71567236.410621643</v>
      </c>
      <c r="Q28" s="276">
        <f t="shared" si="1"/>
        <v>77478831.138834074</v>
      </c>
      <c r="R28" s="276">
        <f t="shared" si="1"/>
        <v>83508657.761610746</v>
      </c>
      <c r="S28" s="276">
        <f t="shared" si="1"/>
        <v>89659080.916842967</v>
      </c>
      <c r="T28" s="276">
        <f t="shared" si="1"/>
        <v>95932512.535179824</v>
      </c>
      <c r="U28" s="276">
        <f t="shared" si="1"/>
        <v>102331412.78588343</v>
      </c>
      <c r="V28" s="276">
        <f t="shared" si="1"/>
        <v>108858291.04160109</v>
      </c>
      <c r="W28" s="276">
        <f t="shared" si="1"/>
        <v>115515706.86243311</v>
      </c>
      <c r="X28" s="276">
        <f t="shared" si="1"/>
        <v>122306270.99968177</v>
      </c>
      <c r="Y28" s="276">
        <f t="shared" si="1"/>
        <v>129232646.41967541</v>
      </c>
      <c r="Z28" s="276">
        <f t="shared" si="1"/>
        <v>136297549.34806892</v>
      </c>
      <c r="AA28" s="276">
        <f t="shared" si="1"/>
        <v>143503750.33503029</v>
      </c>
      <c r="AB28" s="276">
        <f t="shared" si="1"/>
        <v>150854075.34173089</v>
      </c>
      <c r="AC28" s="276">
        <f t="shared" si="1"/>
        <v>158351406.84856552</v>
      </c>
      <c r="AD28" s="276">
        <f t="shared" si="1"/>
        <v>165998684.98553681</v>
      </c>
      <c r="AE28" s="276">
        <f t="shared" si="1"/>
        <v>173798908.68524754</v>
      </c>
      <c r="AF28" s="277">
        <f t="shared" si="1"/>
        <v>181755136.85895249</v>
      </c>
      <c r="AG28" s="170"/>
    </row>
  </sheetData>
  <mergeCells count="1">
    <mergeCell ref="A1:A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F51"/>
  <sheetViews>
    <sheetView showGridLines="0" zoomScaleNormal="100"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8.7265625" defaultRowHeight="14.5" x14ac:dyDescent="0.35"/>
  <cols>
    <col min="1" max="1" width="1.54296875" customWidth="1"/>
    <col min="2" max="2" width="36.54296875" bestFit="1" customWidth="1"/>
    <col min="3" max="3" width="15.54296875" bestFit="1" customWidth="1"/>
    <col min="4" max="4" width="14.54296875" bestFit="1" customWidth="1"/>
    <col min="5" max="5" width="15.54296875" bestFit="1" customWidth="1"/>
    <col min="6" max="22" width="14.54296875" bestFit="1" customWidth="1"/>
    <col min="23" max="32" width="13.54296875" bestFit="1" customWidth="1"/>
  </cols>
  <sheetData>
    <row r="1" spans="1:32" ht="27.75" customHeight="1" thickBot="1" x14ac:dyDescent="0.4">
      <c r="A1" s="512" t="s">
        <v>385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513"/>
      <c r="AC1" s="513"/>
      <c r="AD1" s="513"/>
      <c r="AE1" s="513"/>
      <c r="AF1" s="513"/>
    </row>
    <row r="2" spans="1:32" ht="16.5" customHeight="1" thickBot="1" x14ac:dyDescent="0.4">
      <c r="A2" s="82" t="s">
        <v>386</v>
      </c>
      <c r="B2" s="82"/>
      <c r="C2" s="82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</row>
    <row r="3" spans="1:32" ht="16.5" customHeight="1" x14ac:dyDescent="0.35">
      <c r="B3" s="319" t="s">
        <v>374</v>
      </c>
      <c r="C3" s="111">
        <f>Costs!$C$13</f>
        <v>172100000</v>
      </c>
      <c r="D3" s="143"/>
      <c r="E3" s="152"/>
      <c r="F3" s="15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</row>
    <row r="4" spans="1:32" ht="16.5" customHeight="1" x14ac:dyDescent="0.35">
      <c r="B4" s="253" t="s">
        <v>365</v>
      </c>
      <c r="C4" s="119">
        <f>IF(Inputs!$D$79="ITC",Tax!$C$10,0)</f>
        <v>45537750</v>
      </c>
      <c r="D4" s="143"/>
      <c r="E4" s="152"/>
      <c r="F4" s="15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</row>
    <row r="5" spans="1:32" ht="16.5" customHeight="1" x14ac:dyDescent="0.35">
      <c r="B5" s="319" t="s">
        <v>387</v>
      </c>
      <c r="C5" s="160">
        <f>Inputs!$D$72</f>
        <v>0.6</v>
      </c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</row>
    <row r="6" spans="1:32" ht="16.5" customHeight="1" x14ac:dyDescent="0.35">
      <c r="B6" s="253" t="s">
        <v>388</v>
      </c>
      <c r="C6" s="119">
        <v>82417189.001075029</v>
      </c>
      <c r="D6" s="154"/>
      <c r="E6" s="155"/>
      <c r="F6" s="15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</row>
    <row r="7" spans="1:32" ht="16.5" customHeight="1" x14ac:dyDescent="0.35">
      <c r="B7" s="319" t="s">
        <v>271</v>
      </c>
      <c r="C7" s="161">
        <f>Inputs!$D$69</f>
        <v>1.3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6.5" customHeight="1" x14ac:dyDescent="0.35">
      <c r="B8" s="253" t="s">
        <v>179</v>
      </c>
      <c r="C8" s="193">
        <f>Inputs!$D$70</f>
        <v>7.0000000000000007E-2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</row>
    <row r="9" spans="1:32" ht="16.5" customHeight="1" x14ac:dyDescent="0.35">
      <c r="B9" s="319" t="s">
        <v>389</v>
      </c>
      <c r="C9" s="162">
        <f>Inputs!$D$71</f>
        <v>18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8" customHeight="1" x14ac:dyDescent="0.35">
      <c r="B10" s="321" t="s">
        <v>390</v>
      </c>
      <c r="C10" s="340">
        <f>ABS(PMT(C8,C9,C6))</f>
        <v>8193307.1799658062</v>
      </c>
      <c r="D10" s="156"/>
      <c r="E10" s="157"/>
      <c r="F10" s="158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</row>
    <row r="11" spans="1:32" ht="18" customHeight="1" x14ac:dyDescent="0.35">
      <c r="B11" s="322" t="s">
        <v>391</v>
      </c>
      <c r="C11" s="323">
        <f>C49</f>
        <v>1.2999690842875824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</row>
    <row r="12" spans="1:32" ht="16.5" customHeight="1" x14ac:dyDescent="0.35">
      <c r="B12" s="320" t="s">
        <v>392</v>
      </c>
      <c r="C12" s="163">
        <f>C11-C7</f>
        <v>-3.0915712417645125E-5</v>
      </c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</row>
    <row r="13" spans="1:32" ht="16.5" customHeight="1" x14ac:dyDescent="0.35">
      <c r="B13" s="319" t="s">
        <v>393</v>
      </c>
      <c r="C13" s="111">
        <f>Inputs!D73*Debt!C3</f>
        <v>111865000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8" customHeight="1" x14ac:dyDescent="0.35">
      <c r="B14" s="253" t="s">
        <v>85</v>
      </c>
      <c r="C14" s="119" t="str">
        <f>IF(C6&lt;=C13,"DSCR Floor","Leverage Cap")</f>
        <v>DSCR Floor</v>
      </c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</row>
    <row r="15" spans="1:32" ht="18" customHeight="1" x14ac:dyDescent="0.35">
      <c r="B15" s="274" t="s">
        <v>394</v>
      </c>
      <c r="C15" s="275">
        <f>MIN(C6,C13)</f>
        <v>82417189.001075029</v>
      </c>
      <c r="D15" s="156"/>
      <c r="E15" s="157"/>
      <c r="F15" s="158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</row>
    <row r="16" spans="1:32" ht="18" customHeight="1" x14ac:dyDescent="0.35">
      <c r="B16" s="274" t="s">
        <v>367</v>
      </c>
      <c r="C16" s="275">
        <f>C3-C15-C4</f>
        <v>44145060.998924971</v>
      </c>
      <c r="D16" s="156"/>
      <c r="E16" s="157"/>
      <c r="F16" s="158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</row>
    <row r="17" spans="1:32" ht="16.5" customHeight="1" x14ac:dyDescent="0.35">
      <c r="B17" s="319" t="s">
        <v>395</v>
      </c>
      <c r="C17" s="164">
        <f>C15/C3</f>
        <v>0.47889127833280087</v>
      </c>
      <c r="D17" s="143"/>
      <c r="E17" s="159"/>
      <c r="F17" s="159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6.5" customHeight="1" x14ac:dyDescent="0.35">
      <c r="B18" s="142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</row>
    <row r="19" spans="1:32" ht="16.5" customHeight="1" x14ac:dyDescent="0.35"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</row>
    <row r="20" spans="1:32" ht="18" customHeight="1" x14ac:dyDescent="0.35">
      <c r="B20" s="318" t="s">
        <v>303</v>
      </c>
      <c r="C20" s="318">
        <v>1</v>
      </c>
      <c r="D20" s="318">
        <v>2</v>
      </c>
      <c r="E20" s="318">
        <v>3</v>
      </c>
      <c r="F20" s="318">
        <v>4</v>
      </c>
      <c r="G20" s="318">
        <v>5</v>
      </c>
      <c r="H20" s="318">
        <v>6</v>
      </c>
      <c r="I20" s="318">
        <v>7</v>
      </c>
      <c r="J20" s="318">
        <v>8</v>
      </c>
      <c r="K20" s="318">
        <v>9</v>
      </c>
      <c r="L20" s="318">
        <v>10</v>
      </c>
      <c r="M20" s="318">
        <v>11</v>
      </c>
      <c r="N20" s="318">
        <v>12</v>
      </c>
      <c r="O20" s="318">
        <v>13</v>
      </c>
      <c r="P20" s="318">
        <v>14</v>
      </c>
      <c r="Q20" s="318">
        <v>15</v>
      </c>
      <c r="R20" s="318">
        <v>16</v>
      </c>
      <c r="S20" s="318">
        <v>17</v>
      </c>
      <c r="T20" s="318">
        <v>18</v>
      </c>
      <c r="U20" s="318">
        <v>19</v>
      </c>
      <c r="V20" s="318">
        <v>20</v>
      </c>
      <c r="W20" s="318">
        <v>21</v>
      </c>
      <c r="X20" s="318">
        <v>22</v>
      </c>
      <c r="Y20" s="318">
        <v>23</v>
      </c>
      <c r="Z20" s="318">
        <v>24</v>
      </c>
      <c r="AA20" s="318">
        <v>25</v>
      </c>
      <c r="AB20" s="318">
        <v>26</v>
      </c>
      <c r="AC20" s="318">
        <v>27</v>
      </c>
      <c r="AD20" s="318">
        <v>28</v>
      </c>
      <c r="AE20" s="318">
        <v>29</v>
      </c>
      <c r="AF20" s="318">
        <v>30</v>
      </c>
    </row>
    <row r="21" spans="1:32" ht="16.5" customHeight="1" thickBot="1" x14ac:dyDescent="0.4">
      <c r="A21" s="82" t="s">
        <v>396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s="218" customFormat="1" ht="16.5" customHeight="1" x14ac:dyDescent="0.35">
      <c r="B22" s="253" t="s">
        <v>397</v>
      </c>
      <c r="C22" s="276">
        <f>C6</f>
        <v>82417189.001075029</v>
      </c>
      <c r="D22" s="276">
        <f t="shared" ref="D22:AF22" si="0">C26</f>
        <v>79993085.051184475</v>
      </c>
      <c r="E22" s="276">
        <f t="shared" si="0"/>
        <v>77399293.824801579</v>
      </c>
      <c r="F22" s="276">
        <f t="shared" si="0"/>
        <v>74623937.212571889</v>
      </c>
      <c r="G22" s="276">
        <f t="shared" si="0"/>
        <v>71654305.637486115</v>
      </c>
      <c r="H22" s="276">
        <f t="shared" si="0"/>
        <v>68476799.852144331</v>
      </c>
      <c r="I22" s="276">
        <f t="shared" si="0"/>
        <v>65076868.66182863</v>
      </c>
      <c r="J22" s="276">
        <f t="shared" si="0"/>
        <v>61438942.288190827</v>
      </c>
      <c r="K22" s="276">
        <f t="shared" si="0"/>
        <v>57546361.068398379</v>
      </c>
      <c r="L22" s="276">
        <f t="shared" si="0"/>
        <v>53381299.163220458</v>
      </c>
      <c r="M22" s="276">
        <f t="shared" si="0"/>
        <v>48924682.924680084</v>
      </c>
      <c r="N22" s="276">
        <f t="shared" si="0"/>
        <v>44156103.549441881</v>
      </c>
      <c r="O22" s="276">
        <f t="shared" si="0"/>
        <v>39053723.617937006</v>
      </c>
      <c r="P22" s="276">
        <f t="shared" si="0"/>
        <v>33594177.091226786</v>
      </c>
      <c r="Q22" s="276">
        <f t="shared" si="0"/>
        <v>27752462.307646856</v>
      </c>
      <c r="R22" s="276">
        <f t="shared" si="0"/>
        <v>21501827.489216328</v>
      </c>
      <c r="S22" s="276">
        <f t="shared" si="0"/>
        <v>14813648.233495664</v>
      </c>
      <c r="T22" s="276">
        <f t="shared" si="0"/>
        <v>7657296.4298745543</v>
      </c>
      <c r="U22" s="276">
        <f t="shared" si="0"/>
        <v>-3.3527612686157227E-8</v>
      </c>
      <c r="V22" s="276">
        <f t="shared" si="0"/>
        <v>-3.5874545574188235E-8</v>
      </c>
      <c r="W22" s="276">
        <f t="shared" si="0"/>
        <v>-3.8385763764381415E-8</v>
      </c>
      <c r="X22" s="276">
        <f t="shared" si="0"/>
        <v>-4.1072767227888115E-8</v>
      </c>
      <c r="Y22" s="276">
        <f t="shared" si="0"/>
        <v>-4.3947860933840284E-8</v>
      </c>
      <c r="Z22" s="276">
        <f t="shared" si="0"/>
        <v>-4.7024211199209102E-8</v>
      </c>
      <c r="AA22" s="276">
        <f t="shared" si="0"/>
        <v>-5.0315905983153741E-8</v>
      </c>
      <c r="AB22" s="276">
        <f t="shared" si="0"/>
        <v>-5.3838019401974505E-8</v>
      </c>
      <c r="AC22" s="276">
        <f t="shared" si="0"/>
        <v>-5.7606680760112721E-8</v>
      </c>
      <c r="AD22" s="276">
        <f t="shared" si="0"/>
        <v>-6.1639148413320613E-8</v>
      </c>
      <c r="AE22" s="276">
        <f t="shared" si="0"/>
        <v>-6.5953888802253055E-8</v>
      </c>
      <c r="AF22" s="276">
        <f t="shared" si="0"/>
        <v>-7.0570661018410769E-8</v>
      </c>
    </row>
    <row r="23" spans="1:32" s="218" customFormat="1" ht="16.5" customHeight="1" x14ac:dyDescent="0.35">
      <c r="B23" s="251" t="s">
        <v>398</v>
      </c>
      <c r="C23" s="292">
        <f t="shared" ref="C23:AF23" si="1">C22*$C$8</f>
        <v>5769203.2300752522</v>
      </c>
      <c r="D23" s="292">
        <f t="shared" si="1"/>
        <v>5599515.9535829136</v>
      </c>
      <c r="E23" s="292">
        <f t="shared" si="1"/>
        <v>5417950.5677361107</v>
      </c>
      <c r="F23" s="292">
        <f t="shared" si="1"/>
        <v>5223675.6048800331</v>
      </c>
      <c r="G23" s="292">
        <f t="shared" si="1"/>
        <v>5015801.3946240284</v>
      </c>
      <c r="H23" s="292">
        <f t="shared" si="1"/>
        <v>4793375.9896501033</v>
      </c>
      <c r="I23" s="292">
        <f t="shared" si="1"/>
        <v>4555380.8063280042</v>
      </c>
      <c r="J23" s="292">
        <f t="shared" si="1"/>
        <v>4300725.9601733582</v>
      </c>
      <c r="K23" s="292">
        <f t="shared" si="1"/>
        <v>4028245.274787887</v>
      </c>
      <c r="L23" s="292">
        <f t="shared" si="1"/>
        <v>3736690.9414254325</v>
      </c>
      <c r="M23" s="292">
        <f t="shared" si="1"/>
        <v>3424727.804727606</v>
      </c>
      <c r="N23" s="292">
        <f t="shared" si="1"/>
        <v>3090927.2484609322</v>
      </c>
      <c r="O23" s="292">
        <f t="shared" si="1"/>
        <v>2733760.6532555907</v>
      </c>
      <c r="P23" s="292">
        <f t="shared" si="1"/>
        <v>2351592.3963858751</v>
      </c>
      <c r="Q23" s="292">
        <f t="shared" si="1"/>
        <v>1942672.36153528</v>
      </c>
      <c r="R23" s="292">
        <f t="shared" si="1"/>
        <v>1505127.9242451431</v>
      </c>
      <c r="S23" s="292">
        <f t="shared" si="1"/>
        <v>1036955.3763446966</v>
      </c>
      <c r="T23" s="292">
        <f t="shared" si="1"/>
        <v>536010.75009121886</v>
      </c>
      <c r="U23" s="292">
        <f t="shared" si="1"/>
        <v>-2.3469328880310063E-9</v>
      </c>
      <c r="V23" s="292">
        <f t="shared" si="1"/>
        <v>-2.5112181901931768E-9</v>
      </c>
      <c r="W23" s="292">
        <f t="shared" si="1"/>
        <v>-2.6870034635066995E-9</v>
      </c>
      <c r="X23" s="292">
        <f t="shared" si="1"/>
        <v>-2.8750937059521681E-9</v>
      </c>
      <c r="Y23" s="292">
        <f t="shared" si="1"/>
        <v>-3.0763502653688203E-9</v>
      </c>
      <c r="Z23" s="292">
        <f t="shared" si="1"/>
        <v>-3.2916947839446374E-9</v>
      </c>
      <c r="AA23" s="292">
        <f t="shared" si="1"/>
        <v>-3.5221134188207621E-9</v>
      </c>
      <c r="AB23" s="292">
        <f t="shared" si="1"/>
        <v>-3.7686613581382157E-9</v>
      </c>
      <c r="AC23" s="292">
        <f t="shared" si="1"/>
        <v>-4.0324676532078911E-9</v>
      </c>
      <c r="AD23" s="292">
        <f t="shared" si="1"/>
        <v>-4.3147403889324434E-9</v>
      </c>
      <c r="AE23" s="292">
        <f t="shared" si="1"/>
        <v>-4.6167722161577146E-9</v>
      </c>
      <c r="AF23" s="292">
        <f t="shared" si="1"/>
        <v>-4.9399462712887546E-9</v>
      </c>
    </row>
    <row r="24" spans="1:32" s="218" customFormat="1" ht="16.5" customHeight="1" x14ac:dyDescent="0.35">
      <c r="B24" s="253" t="s">
        <v>78</v>
      </c>
      <c r="C24" s="276">
        <f t="shared" ref="C24:AF24" si="2">IF(C20&lt;=$C$9,$C$10,0)</f>
        <v>8193307.1799658062</v>
      </c>
      <c r="D24" s="276">
        <f t="shared" si="2"/>
        <v>8193307.1799658062</v>
      </c>
      <c r="E24" s="276">
        <f t="shared" si="2"/>
        <v>8193307.1799658062</v>
      </c>
      <c r="F24" s="276">
        <f t="shared" si="2"/>
        <v>8193307.1799658062</v>
      </c>
      <c r="G24" s="276">
        <f t="shared" si="2"/>
        <v>8193307.1799658062</v>
      </c>
      <c r="H24" s="276">
        <f t="shared" si="2"/>
        <v>8193307.1799658062</v>
      </c>
      <c r="I24" s="276">
        <f t="shared" si="2"/>
        <v>8193307.1799658062</v>
      </c>
      <c r="J24" s="276">
        <f t="shared" si="2"/>
        <v>8193307.1799658062</v>
      </c>
      <c r="K24" s="276">
        <f t="shared" si="2"/>
        <v>8193307.1799658062</v>
      </c>
      <c r="L24" s="276">
        <f t="shared" si="2"/>
        <v>8193307.1799658062</v>
      </c>
      <c r="M24" s="276">
        <f t="shared" si="2"/>
        <v>8193307.1799658062</v>
      </c>
      <c r="N24" s="276">
        <f t="shared" si="2"/>
        <v>8193307.1799658062</v>
      </c>
      <c r="O24" s="276">
        <f t="shared" si="2"/>
        <v>8193307.1799658062</v>
      </c>
      <c r="P24" s="276">
        <f t="shared" si="2"/>
        <v>8193307.1799658062</v>
      </c>
      <c r="Q24" s="276">
        <f t="shared" si="2"/>
        <v>8193307.1799658062</v>
      </c>
      <c r="R24" s="276">
        <f t="shared" si="2"/>
        <v>8193307.1799658062</v>
      </c>
      <c r="S24" s="276">
        <f t="shared" si="2"/>
        <v>8193307.1799658062</v>
      </c>
      <c r="T24" s="276">
        <f t="shared" si="2"/>
        <v>8193307.1799658062</v>
      </c>
      <c r="U24" s="276">
        <f t="shared" si="2"/>
        <v>0</v>
      </c>
      <c r="V24" s="276">
        <f t="shared" si="2"/>
        <v>0</v>
      </c>
      <c r="W24" s="276">
        <f t="shared" si="2"/>
        <v>0</v>
      </c>
      <c r="X24" s="276">
        <f t="shared" si="2"/>
        <v>0</v>
      </c>
      <c r="Y24" s="276">
        <f t="shared" si="2"/>
        <v>0</v>
      </c>
      <c r="Z24" s="276">
        <f t="shared" si="2"/>
        <v>0</v>
      </c>
      <c r="AA24" s="276">
        <f t="shared" si="2"/>
        <v>0</v>
      </c>
      <c r="AB24" s="276">
        <f t="shared" si="2"/>
        <v>0</v>
      </c>
      <c r="AC24" s="276">
        <f t="shared" si="2"/>
        <v>0</v>
      </c>
      <c r="AD24" s="276">
        <f t="shared" si="2"/>
        <v>0</v>
      </c>
      <c r="AE24" s="276">
        <f t="shared" si="2"/>
        <v>0</v>
      </c>
      <c r="AF24" s="276">
        <f t="shared" si="2"/>
        <v>0</v>
      </c>
    </row>
    <row r="25" spans="1:32" s="218" customFormat="1" ht="16.5" customHeight="1" x14ac:dyDescent="0.35">
      <c r="B25" s="251" t="s">
        <v>399</v>
      </c>
      <c r="C25" s="292">
        <f t="shared" ref="C25:AF25" si="3">C24-C23</f>
        <v>2424103.949890554</v>
      </c>
      <c r="D25" s="292">
        <f t="shared" si="3"/>
        <v>2593791.2263828926</v>
      </c>
      <c r="E25" s="292">
        <f t="shared" si="3"/>
        <v>2775356.6122296955</v>
      </c>
      <c r="F25" s="292">
        <f t="shared" si="3"/>
        <v>2969631.5750857731</v>
      </c>
      <c r="G25" s="292">
        <f t="shared" si="3"/>
        <v>3177505.7853417778</v>
      </c>
      <c r="H25" s="292">
        <f t="shared" si="3"/>
        <v>3399931.1903157029</v>
      </c>
      <c r="I25" s="292">
        <f t="shared" si="3"/>
        <v>3637926.373637802</v>
      </c>
      <c r="J25" s="292">
        <f t="shared" si="3"/>
        <v>3892581.219792448</v>
      </c>
      <c r="K25" s="292">
        <f t="shared" si="3"/>
        <v>4165061.9051779192</v>
      </c>
      <c r="L25" s="292">
        <f t="shared" si="3"/>
        <v>4456616.2385403737</v>
      </c>
      <c r="M25" s="292">
        <f t="shared" si="3"/>
        <v>4768579.3752382006</v>
      </c>
      <c r="N25" s="292">
        <f t="shared" si="3"/>
        <v>5102379.9315048736</v>
      </c>
      <c r="O25" s="292">
        <f t="shared" si="3"/>
        <v>5459546.526710216</v>
      </c>
      <c r="P25" s="292">
        <f t="shared" si="3"/>
        <v>5841714.7835799307</v>
      </c>
      <c r="Q25" s="292">
        <f t="shared" si="3"/>
        <v>6250634.8184305262</v>
      </c>
      <c r="R25" s="292">
        <f t="shared" si="3"/>
        <v>6688179.2557206629</v>
      </c>
      <c r="S25" s="292">
        <f t="shared" si="3"/>
        <v>7156351.8036211096</v>
      </c>
      <c r="T25" s="292">
        <f t="shared" si="3"/>
        <v>7657296.4298745878</v>
      </c>
      <c r="U25" s="292">
        <f t="shared" si="3"/>
        <v>2.3469328880310063E-9</v>
      </c>
      <c r="V25" s="292">
        <f t="shared" si="3"/>
        <v>2.5112181901931768E-9</v>
      </c>
      <c r="W25" s="292">
        <f t="shared" si="3"/>
        <v>2.6870034635066995E-9</v>
      </c>
      <c r="X25" s="292">
        <f t="shared" si="3"/>
        <v>2.8750937059521681E-9</v>
      </c>
      <c r="Y25" s="292">
        <f t="shared" si="3"/>
        <v>3.0763502653688203E-9</v>
      </c>
      <c r="Z25" s="292">
        <f t="shared" si="3"/>
        <v>3.2916947839446374E-9</v>
      </c>
      <c r="AA25" s="292">
        <f t="shared" si="3"/>
        <v>3.5221134188207621E-9</v>
      </c>
      <c r="AB25" s="292">
        <f t="shared" si="3"/>
        <v>3.7686613581382157E-9</v>
      </c>
      <c r="AC25" s="292">
        <f t="shared" si="3"/>
        <v>4.0324676532078911E-9</v>
      </c>
      <c r="AD25" s="292">
        <f t="shared" si="3"/>
        <v>4.3147403889324434E-9</v>
      </c>
      <c r="AE25" s="292">
        <f t="shared" si="3"/>
        <v>4.6167722161577146E-9</v>
      </c>
      <c r="AF25" s="292">
        <f t="shared" si="3"/>
        <v>4.9399462712887546E-9</v>
      </c>
    </row>
    <row r="26" spans="1:32" s="218" customFormat="1" ht="16.5" customHeight="1" x14ac:dyDescent="0.35">
      <c r="B26" s="253" t="s">
        <v>400</v>
      </c>
      <c r="C26" s="276">
        <f t="shared" ref="C26:AF26" si="4">C22-C25</f>
        <v>79993085.051184475</v>
      </c>
      <c r="D26" s="276">
        <f t="shared" si="4"/>
        <v>77399293.824801579</v>
      </c>
      <c r="E26" s="276">
        <f t="shared" si="4"/>
        <v>74623937.212571889</v>
      </c>
      <c r="F26" s="276">
        <f t="shared" si="4"/>
        <v>71654305.637486115</v>
      </c>
      <c r="G26" s="276">
        <f t="shared" si="4"/>
        <v>68476799.852144331</v>
      </c>
      <c r="H26" s="276">
        <f t="shared" si="4"/>
        <v>65076868.66182863</v>
      </c>
      <c r="I26" s="276">
        <f t="shared" si="4"/>
        <v>61438942.288190827</v>
      </c>
      <c r="J26" s="276">
        <f t="shared" si="4"/>
        <v>57546361.068398379</v>
      </c>
      <c r="K26" s="276">
        <f t="shared" si="4"/>
        <v>53381299.163220458</v>
      </c>
      <c r="L26" s="276">
        <f t="shared" si="4"/>
        <v>48924682.924680084</v>
      </c>
      <c r="M26" s="276">
        <f t="shared" si="4"/>
        <v>44156103.549441881</v>
      </c>
      <c r="N26" s="276">
        <f t="shared" si="4"/>
        <v>39053723.617937006</v>
      </c>
      <c r="O26" s="276">
        <f t="shared" si="4"/>
        <v>33594177.091226786</v>
      </c>
      <c r="P26" s="276">
        <f t="shared" si="4"/>
        <v>27752462.307646856</v>
      </c>
      <c r="Q26" s="276">
        <f t="shared" si="4"/>
        <v>21501827.489216328</v>
      </c>
      <c r="R26" s="276">
        <f t="shared" si="4"/>
        <v>14813648.233495664</v>
      </c>
      <c r="S26" s="276">
        <f t="shared" si="4"/>
        <v>7657296.4298745543</v>
      </c>
      <c r="T26" s="276">
        <f t="shared" si="4"/>
        <v>-3.3527612686157227E-8</v>
      </c>
      <c r="U26" s="276">
        <f t="shared" si="4"/>
        <v>-3.5874545574188235E-8</v>
      </c>
      <c r="V26" s="276">
        <f t="shared" si="4"/>
        <v>-3.8385763764381415E-8</v>
      </c>
      <c r="W26" s="276">
        <f t="shared" si="4"/>
        <v>-4.1072767227888115E-8</v>
      </c>
      <c r="X26" s="276">
        <f t="shared" si="4"/>
        <v>-4.3947860933840284E-8</v>
      </c>
      <c r="Y26" s="276">
        <f t="shared" si="4"/>
        <v>-4.7024211199209102E-8</v>
      </c>
      <c r="Z26" s="276">
        <f t="shared" si="4"/>
        <v>-5.0315905983153741E-8</v>
      </c>
      <c r="AA26" s="276">
        <f t="shared" si="4"/>
        <v>-5.3838019401974505E-8</v>
      </c>
      <c r="AB26" s="276">
        <f t="shared" si="4"/>
        <v>-5.7606680760112721E-8</v>
      </c>
      <c r="AC26" s="276">
        <f t="shared" si="4"/>
        <v>-6.1639148413320613E-8</v>
      </c>
      <c r="AD26" s="276">
        <f t="shared" si="4"/>
        <v>-6.5953888802253055E-8</v>
      </c>
      <c r="AE26" s="276">
        <f t="shared" si="4"/>
        <v>-7.0570661018410769E-8</v>
      </c>
      <c r="AF26" s="276">
        <f t="shared" si="4"/>
        <v>-7.5510607289699519E-8</v>
      </c>
    </row>
    <row r="27" spans="1:32" ht="16.5" customHeight="1" x14ac:dyDescent="0.35">
      <c r="B27" s="324" t="s">
        <v>401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 t="str">
        <f>IF(T26&lt;=0.00001,"PASS","FAIL")</f>
        <v>PASS</v>
      </c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</row>
    <row r="28" spans="1:32" ht="16.5" customHeight="1" x14ac:dyDescent="0.35"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</row>
    <row r="29" spans="1:32" ht="16.5" customHeight="1" x14ac:dyDescent="0.35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6.5" customHeight="1" thickBot="1" x14ac:dyDescent="0.4">
      <c r="A30" s="82" t="s">
        <v>402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</row>
    <row r="31" spans="1:32" ht="16.5" customHeight="1" x14ac:dyDescent="0.35">
      <c r="A31" s="282" t="s">
        <v>403</v>
      </c>
      <c r="B31" s="282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</row>
    <row r="32" spans="1:32" ht="16.5" customHeight="1" x14ac:dyDescent="0.35">
      <c r="B32" s="253" t="s">
        <v>404</v>
      </c>
      <c r="C32" s="119">
        <f>Revenue!C50</f>
        <v>17720253.640000001</v>
      </c>
      <c r="D32" s="119">
        <f>Revenue!D50</f>
        <v>17816790.7243305</v>
      </c>
      <c r="E32" s="119">
        <f>Revenue!E50</f>
        <v>17915031.744148258</v>
      </c>
      <c r="F32" s="119">
        <f>Revenue!F50</f>
        <v>18015004.530321814</v>
      </c>
      <c r="G32" s="119">
        <f>Revenue!G50</f>
        <v>18116737.404669497</v>
      </c>
      <c r="H32" s="119">
        <f>Revenue!H50</f>
        <v>18220259.19115442</v>
      </c>
      <c r="I32" s="119">
        <f>Revenue!I50</f>
        <v>18325599.227272239</v>
      </c>
      <c r="J32" s="119">
        <f>Revenue!J50</f>
        <v>18432787.375635799</v>
      </c>
      <c r="K32" s="119">
        <f>Revenue!K50</f>
        <v>18541854.035761416</v>
      </c>
      <c r="L32" s="119">
        <f>Revenue!L50</f>
        <v>18652830.156061094</v>
      </c>
      <c r="M32" s="119">
        <f>Revenue!M50</f>
        <v>18765747.246045575</v>
      </c>
      <c r="N32" s="119">
        <f>Revenue!N50</f>
        <v>18880637.388742764</v>
      </c>
      <c r="O32" s="119">
        <f>Revenue!O50</f>
        <v>18997533.253336441</v>
      </c>
      <c r="P32" s="119">
        <f>Revenue!P50</f>
        <v>19116468.108030133</v>
      </c>
      <c r="Q32" s="119">
        <f>Revenue!Q50</f>
        <v>19237475.833141141</v>
      </c>
      <c r="R32" s="119">
        <f>Revenue!R50</f>
        <v>19360590.934429813</v>
      </c>
      <c r="S32" s="119">
        <f>Revenue!S50</f>
        <v>19485848.556669276</v>
      </c>
      <c r="T32" s="119">
        <f>Revenue!T50</f>
        <v>19613284.497460742</v>
      </c>
      <c r="U32" s="119">
        <f>Revenue!U50</f>
        <v>19742935.221300032</v>
      </c>
      <c r="V32" s="119">
        <f>Revenue!V50</f>
        <v>19874837.873900536</v>
      </c>
      <c r="W32" s="119">
        <f>Revenue!W50</f>
        <v>14746810.481365051</v>
      </c>
      <c r="X32" s="119">
        <f>Revenue!X50</f>
        <v>14786825.601588773</v>
      </c>
      <c r="Y32" s="119">
        <f>Revenue!Y50</f>
        <v>14829082.907555871</v>
      </c>
      <c r="Z32" s="119">
        <f>Revenue!Z50</f>
        <v>14873620.036164388</v>
      </c>
      <c r="AA32" s="119">
        <f>Revenue!AA50</f>
        <v>14920475.378206762</v>
      </c>
      <c r="AB32" s="119">
        <f>Revenue!AB50</f>
        <v>14969688.094293939</v>
      </c>
      <c r="AC32" s="119">
        <f>Revenue!AC50</f>
        <v>15021298.131077224</v>
      </c>
      <c r="AD32" s="119">
        <f>Revenue!AD50</f>
        <v>15075346.237774234</v>
      </c>
      <c r="AE32" s="119">
        <f>Revenue!AE50</f>
        <v>15131873.98300539</v>
      </c>
      <c r="AF32" s="119">
        <f>Revenue!AF50</f>
        <v>15190923.771947499</v>
      </c>
    </row>
    <row r="33" spans="1:32" ht="16.5" customHeight="1" x14ac:dyDescent="0.35">
      <c r="B33" s="251" t="s">
        <v>382</v>
      </c>
      <c r="C33" s="116">
        <f>Costs!C25</f>
        <v>4480250</v>
      </c>
      <c r="D33" s="116">
        <f>Costs!D25</f>
        <v>4569855</v>
      </c>
      <c r="E33" s="116">
        <f>Costs!E25</f>
        <v>4661252.0999999996</v>
      </c>
      <c r="F33" s="116">
        <f>Costs!F25</f>
        <v>4754477.142</v>
      </c>
      <c r="G33" s="116">
        <f>Costs!G25</f>
        <v>4849566.6848400002</v>
      </c>
      <c r="H33" s="116">
        <f>Costs!H25</f>
        <v>4946558.0185368005</v>
      </c>
      <c r="I33" s="116">
        <f>Costs!I25</f>
        <v>5045489.178907536</v>
      </c>
      <c r="J33" s="116">
        <f>Costs!J25</f>
        <v>5146398.9624856859</v>
      </c>
      <c r="K33" s="116">
        <f>Costs!K25</f>
        <v>5249326.9417353999</v>
      </c>
      <c r="L33" s="116">
        <f>Costs!L25</f>
        <v>5354313.4805701086</v>
      </c>
      <c r="M33" s="116">
        <f>Costs!M25</f>
        <v>5461399.7501815092</v>
      </c>
      <c r="N33" s="116">
        <f>Costs!N25</f>
        <v>5570627.7451851396</v>
      </c>
      <c r="O33" s="116">
        <f>Costs!O25</f>
        <v>5682040.3000888433</v>
      </c>
      <c r="P33" s="116">
        <f>Costs!P25</f>
        <v>5795681.1060906202</v>
      </c>
      <c r="Q33" s="116">
        <f>Costs!Q25</f>
        <v>5911594.7282124329</v>
      </c>
      <c r="R33" s="116">
        <f>Costs!R25</f>
        <v>6029826.6227766797</v>
      </c>
      <c r="S33" s="116">
        <f>Costs!S25</f>
        <v>6150423.1552322153</v>
      </c>
      <c r="T33" s="116">
        <f>Costs!T25</f>
        <v>6273431.6183368601</v>
      </c>
      <c r="U33" s="116">
        <f>Costs!U25</f>
        <v>6398900.2507035965</v>
      </c>
      <c r="V33" s="116">
        <f>Costs!V25</f>
        <v>6526878.2557176678</v>
      </c>
      <c r="W33" s="116">
        <f>Costs!W25</f>
        <v>6657415.8208320206</v>
      </c>
      <c r="X33" s="116">
        <f>Costs!X25</f>
        <v>6790564.1372486623</v>
      </c>
      <c r="Y33" s="116">
        <f>Costs!Y25</f>
        <v>6926375.4199936353</v>
      </c>
      <c r="Z33" s="116">
        <f>Costs!Z25</f>
        <v>7064902.9283935074</v>
      </c>
      <c r="AA33" s="116">
        <f>Costs!AA25</f>
        <v>7206200.9869613769</v>
      </c>
      <c r="AB33" s="116">
        <f>Costs!AB25</f>
        <v>7350325.0067006033</v>
      </c>
      <c r="AC33" s="116">
        <f>Costs!AC25</f>
        <v>7497331.5068346178</v>
      </c>
      <c r="AD33" s="116">
        <f>Costs!AD25</f>
        <v>7647278.1369713088</v>
      </c>
      <c r="AE33" s="116">
        <f>Costs!AE25</f>
        <v>7800223.6997107361</v>
      </c>
      <c r="AF33" s="116">
        <f>Costs!AF25</f>
        <v>7956228.1737049492</v>
      </c>
    </row>
    <row r="34" spans="1:32" ht="16.5" customHeight="1" x14ac:dyDescent="0.35">
      <c r="B34" s="253" t="s">
        <v>405</v>
      </c>
      <c r="C34" s="119">
        <f t="shared" ref="C34:AF34" si="5">C32-C33</f>
        <v>13240003.640000001</v>
      </c>
      <c r="D34" s="119">
        <f t="shared" si="5"/>
        <v>13246935.7243305</v>
      </c>
      <c r="E34" s="119">
        <f t="shared" si="5"/>
        <v>13253779.644148258</v>
      </c>
      <c r="F34" s="119">
        <f t="shared" si="5"/>
        <v>13260527.388321813</v>
      </c>
      <c r="G34" s="119">
        <f t="shared" si="5"/>
        <v>13267170.719829496</v>
      </c>
      <c r="H34" s="119">
        <f t="shared" si="5"/>
        <v>13273701.17261762</v>
      </c>
      <c r="I34" s="119">
        <f t="shared" si="5"/>
        <v>13280110.048364703</v>
      </c>
      <c r="J34" s="119">
        <f t="shared" si="5"/>
        <v>13286388.413150113</v>
      </c>
      <c r="K34" s="119">
        <f t="shared" si="5"/>
        <v>13292527.094026016</v>
      </c>
      <c r="L34" s="119">
        <f t="shared" si="5"/>
        <v>13298516.675490987</v>
      </c>
      <c r="M34" s="119">
        <f t="shared" si="5"/>
        <v>13304347.495864065</v>
      </c>
      <c r="N34" s="119">
        <f t="shared" si="5"/>
        <v>13310009.643557623</v>
      </c>
      <c r="O34" s="119">
        <f t="shared" si="5"/>
        <v>13315492.953247597</v>
      </c>
      <c r="P34" s="119">
        <f t="shared" si="5"/>
        <v>13320787.001939513</v>
      </c>
      <c r="Q34" s="119">
        <f t="shared" si="5"/>
        <v>13325881.104928708</v>
      </c>
      <c r="R34" s="119">
        <f t="shared" si="5"/>
        <v>13330764.311653133</v>
      </c>
      <c r="S34" s="119">
        <f t="shared" si="5"/>
        <v>13335425.401437061</v>
      </c>
      <c r="T34" s="119">
        <f t="shared" si="5"/>
        <v>13339852.879123881</v>
      </c>
      <c r="U34" s="119">
        <f t="shared" si="5"/>
        <v>13344034.970596436</v>
      </c>
      <c r="V34" s="119">
        <f t="shared" si="5"/>
        <v>13347959.618182868</v>
      </c>
      <c r="W34" s="119">
        <f t="shared" si="5"/>
        <v>8089394.6605330305</v>
      </c>
      <c r="X34" s="119">
        <f t="shared" si="5"/>
        <v>7996261.4643401103</v>
      </c>
      <c r="Y34" s="119">
        <f t="shared" si="5"/>
        <v>7902707.4875622354</v>
      </c>
      <c r="Z34" s="119">
        <f t="shared" si="5"/>
        <v>7808717.1077708807</v>
      </c>
      <c r="AA34" s="119">
        <f t="shared" si="5"/>
        <v>7714274.3912453847</v>
      </c>
      <c r="AB34" s="119">
        <f t="shared" si="5"/>
        <v>7619363.0875933357</v>
      </c>
      <c r="AC34" s="119">
        <f t="shared" si="5"/>
        <v>7523966.6242426066</v>
      </c>
      <c r="AD34" s="119">
        <f t="shared" si="5"/>
        <v>7428068.1008029254</v>
      </c>
      <c r="AE34" s="119">
        <f t="shared" si="5"/>
        <v>7331650.2832946535</v>
      </c>
      <c r="AF34" s="119">
        <f t="shared" si="5"/>
        <v>7234695.5982425502</v>
      </c>
    </row>
    <row r="35" spans="1:32" ht="16.5" customHeight="1" x14ac:dyDescent="0.35">
      <c r="B35" s="251" t="s">
        <v>406</v>
      </c>
      <c r="C35" s="116">
        <f t="shared" ref="C35:AF35" si="6">C23</f>
        <v>5769203.2300752522</v>
      </c>
      <c r="D35" s="116">
        <f t="shared" si="6"/>
        <v>5599515.9535829136</v>
      </c>
      <c r="E35" s="116">
        <f t="shared" si="6"/>
        <v>5417950.5677361107</v>
      </c>
      <c r="F35" s="116">
        <f t="shared" si="6"/>
        <v>5223675.6048800331</v>
      </c>
      <c r="G35" s="116">
        <f t="shared" si="6"/>
        <v>5015801.3946240284</v>
      </c>
      <c r="H35" s="116">
        <f t="shared" si="6"/>
        <v>4793375.9896501033</v>
      </c>
      <c r="I35" s="116">
        <f t="shared" si="6"/>
        <v>4555380.8063280042</v>
      </c>
      <c r="J35" s="116">
        <f t="shared" si="6"/>
        <v>4300725.9601733582</v>
      </c>
      <c r="K35" s="116">
        <f t="shared" si="6"/>
        <v>4028245.274787887</v>
      </c>
      <c r="L35" s="116">
        <f t="shared" si="6"/>
        <v>3736690.9414254325</v>
      </c>
      <c r="M35" s="116">
        <f t="shared" si="6"/>
        <v>3424727.804727606</v>
      </c>
      <c r="N35" s="116">
        <f t="shared" si="6"/>
        <v>3090927.2484609322</v>
      </c>
      <c r="O35" s="116">
        <f t="shared" si="6"/>
        <v>2733760.6532555907</v>
      </c>
      <c r="P35" s="116">
        <f t="shared" si="6"/>
        <v>2351592.3963858751</v>
      </c>
      <c r="Q35" s="116">
        <f t="shared" si="6"/>
        <v>1942672.36153528</v>
      </c>
      <c r="R35" s="116">
        <f t="shared" si="6"/>
        <v>1505127.9242451431</v>
      </c>
      <c r="S35" s="116">
        <f t="shared" si="6"/>
        <v>1036955.3763446966</v>
      </c>
      <c r="T35" s="116">
        <f t="shared" si="6"/>
        <v>536010.75009121886</v>
      </c>
      <c r="U35" s="116">
        <f t="shared" si="6"/>
        <v>-2.3469328880310063E-9</v>
      </c>
      <c r="V35" s="116">
        <f t="shared" si="6"/>
        <v>-2.5112181901931768E-9</v>
      </c>
      <c r="W35" s="116">
        <f t="shared" si="6"/>
        <v>-2.6870034635066995E-9</v>
      </c>
      <c r="X35" s="116">
        <f t="shared" si="6"/>
        <v>-2.8750937059521681E-9</v>
      </c>
      <c r="Y35" s="116">
        <f t="shared" si="6"/>
        <v>-3.0763502653688203E-9</v>
      </c>
      <c r="Z35" s="116">
        <f t="shared" si="6"/>
        <v>-3.2916947839446374E-9</v>
      </c>
      <c r="AA35" s="116">
        <f t="shared" si="6"/>
        <v>-3.5221134188207621E-9</v>
      </c>
      <c r="AB35" s="116">
        <f t="shared" si="6"/>
        <v>-3.7686613581382157E-9</v>
      </c>
      <c r="AC35" s="116">
        <f t="shared" si="6"/>
        <v>-4.0324676532078911E-9</v>
      </c>
      <c r="AD35" s="116">
        <f t="shared" si="6"/>
        <v>-4.3147403889324434E-9</v>
      </c>
      <c r="AE35" s="116">
        <f t="shared" si="6"/>
        <v>-4.6167722161577146E-9</v>
      </c>
      <c r="AF35" s="116">
        <f t="shared" si="6"/>
        <v>-4.9399462712887546E-9</v>
      </c>
    </row>
    <row r="36" spans="1:32" ht="16.5" customHeight="1" x14ac:dyDescent="0.35">
      <c r="B36" s="253" t="s">
        <v>407</v>
      </c>
      <c r="C36" s="119">
        <f>Tax!C62</f>
        <v>27897000</v>
      </c>
      <c r="D36" s="119">
        <f>Tax!D62</f>
        <v>44635200</v>
      </c>
      <c r="E36" s="119">
        <f>Tax!E62</f>
        <v>26781120</v>
      </c>
      <c r="F36" s="119">
        <f>Tax!F62</f>
        <v>16068672</v>
      </c>
      <c r="G36" s="119">
        <f>Tax!G62</f>
        <v>16068672</v>
      </c>
      <c r="H36" s="119">
        <f>Tax!H62</f>
        <v>8034336</v>
      </c>
      <c r="I36" s="119">
        <f>Tax!I62</f>
        <v>0</v>
      </c>
      <c r="J36" s="119">
        <f>Tax!J62</f>
        <v>0</v>
      </c>
      <c r="K36" s="119">
        <f>Tax!K62</f>
        <v>0</v>
      </c>
      <c r="L36" s="119">
        <f>Tax!L62</f>
        <v>0</v>
      </c>
      <c r="M36" s="119">
        <f>Tax!M62</f>
        <v>0</v>
      </c>
      <c r="N36" s="119">
        <f>Tax!N62</f>
        <v>0</v>
      </c>
      <c r="O36" s="119">
        <f>Tax!O62</f>
        <v>0</v>
      </c>
      <c r="P36" s="119">
        <f>Tax!P62</f>
        <v>0</v>
      </c>
      <c r="Q36" s="119">
        <f>Tax!Q62</f>
        <v>0</v>
      </c>
      <c r="R36" s="119">
        <f>Tax!R62</f>
        <v>0</v>
      </c>
      <c r="S36" s="119">
        <f>Tax!S62</f>
        <v>0</v>
      </c>
      <c r="T36" s="119">
        <f>Tax!T62</f>
        <v>0</v>
      </c>
      <c r="U36" s="119">
        <f>Tax!U62</f>
        <v>0</v>
      </c>
      <c r="V36" s="119">
        <f>Tax!V62</f>
        <v>0</v>
      </c>
      <c r="W36" s="119">
        <f>Tax!W62</f>
        <v>0</v>
      </c>
      <c r="X36" s="119">
        <f>Tax!X62</f>
        <v>0</v>
      </c>
      <c r="Y36" s="119">
        <f>Tax!Y62</f>
        <v>0</v>
      </c>
      <c r="Z36" s="119">
        <f>Tax!Z62</f>
        <v>0</v>
      </c>
      <c r="AA36" s="119">
        <f>Tax!AA62</f>
        <v>0</v>
      </c>
      <c r="AB36" s="119">
        <f>Tax!AB62</f>
        <v>0</v>
      </c>
      <c r="AC36" s="119">
        <f>Tax!AC62</f>
        <v>0</v>
      </c>
      <c r="AD36" s="119">
        <f>Tax!AD62</f>
        <v>0</v>
      </c>
      <c r="AE36" s="119">
        <f>Tax!AE62</f>
        <v>0</v>
      </c>
      <c r="AF36" s="119">
        <f>Tax!AF62</f>
        <v>0</v>
      </c>
    </row>
    <row r="37" spans="1:32" ht="16.5" customHeight="1" x14ac:dyDescent="0.35">
      <c r="B37" s="251" t="s">
        <v>408</v>
      </c>
      <c r="C37" s="116">
        <f t="shared" ref="C37:AF37" si="7">C34-C35-C36</f>
        <v>-20426199.590075251</v>
      </c>
      <c r="D37" s="116">
        <f t="shared" si="7"/>
        <v>-36987780.229252413</v>
      </c>
      <c r="E37" s="116">
        <f t="shared" si="7"/>
        <v>-18945290.923587851</v>
      </c>
      <c r="F37" s="116">
        <f t="shared" si="7"/>
        <v>-8031820.2165582199</v>
      </c>
      <c r="G37" s="116">
        <f t="shared" si="7"/>
        <v>-7817302.6747945324</v>
      </c>
      <c r="H37" s="116">
        <f t="shared" si="7"/>
        <v>445989.18296751752</v>
      </c>
      <c r="I37" s="116">
        <f t="shared" si="7"/>
        <v>8724729.2420366984</v>
      </c>
      <c r="J37" s="116">
        <f t="shared" si="7"/>
        <v>8985662.4529767558</v>
      </c>
      <c r="K37" s="116">
        <f t="shared" si="7"/>
        <v>9264281.81923813</v>
      </c>
      <c r="L37" s="116">
        <f t="shared" si="7"/>
        <v>9561825.734065555</v>
      </c>
      <c r="M37" s="116">
        <f t="shared" si="7"/>
        <v>9879619.6911364589</v>
      </c>
      <c r="N37" s="116">
        <f t="shared" si="7"/>
        <v>10219082.395096691</v>
      </c>
      <c r="O37" s="116">
        <f t="shared" si="7"/>
        <v>10581732.299992006</v>
      </c>
      <c r="P37" s="116">
        <f t="shared" si="7"/>
        <v>10969194.605553638</v>
      </c>
      <c r="Q37" s="116">
        <f t="shared" si="7"/>
        <v>11383208.743393429</v>
      </c>
      <c r="R37" s="116">
        <f t="shared" si="7"/>
        <v>11825636.38740799</v>
      </c>
      <c r="S37" s="116">
        <f t="shared" si="7"/>
        <v>12298470.025092363</v>
      </c>
      <c r="T37" s="116">
        <f t="shared" si="7"/>
        <v>12803842.129032662</v>
      </c>
      <c r="U37" s="116">
        <f t="shared" si="7"/>
        <v>13344034.970596438</v>
      </c>
      <c r="V37" s="116">
        <f t="shared" si="7"/>
        <v>13347959.61818287</v>
      </c>
      <c r="W37" s="116">
        <f t="shared" si="7"/>
        <v>8089394.6605330333</v>
      </c>
      <c r="X37" s="116">
        <f t="shared" si="7"/>
        <v>7996261.4643401131</v>
      </c>
      <c r="Y37" s="116">
        <f t="shared" si="7"/>
        <v>7902707.4875622382</v>
      </c>
      <c r="Z37" s="116">
        <f t="shared" si="7"/>
        <v>7808717.1077708844</v>
      </c>
      <c r="AA37" s="116">
        <f t="shared" si="7"/>
        <v>7714274.3912453884</v>
      </c>
      <c r="AB37" s="116">
        <f t="shared" si="7"/>
        <v>7619363.0875933394</v>
      </c>
      <c r="AC37" s="116">
        <f t="shared" si="7"/>
        <v>7523966.6242426103</v>
      </c>
      <c r="AD37" s="116">
        <f t="shared" si="7"/>
        <v>7428068.1008029301</v>
      </c>
      <c r="AE37" s="116">
        <f t="shared" si="7"/>
        <v>7331650.2832946582</v>
      </c>
      <c r="AF37" s="116">
        <f t="shared" si="7"/>
        <v>7234695.5982425548</v>
      </c>
    </row>
    <row r="38" spans="1:32" ht="16.5" customHeight="1" x14ac:dyDescent="0.35">
      <c r="B38" s="253" t="s">
        <v>409</v>
      </c>
      <c r="C38" s="119">
        <f>Tax!C66</f>
        <v>0</v>
      </c>
      <c r="D38" s="119">
        <f>Tax!D66</f>
        <v>0</v>
      </c>
      <c r="E38" s="119">
        <f>Tax!E66</f>
        <v>0</v>
      </c>
      <c r="F38" s="119">
        <f>Tax!F66</f>
        <v>0</v>
      </c>
      <c r="G38" s="119">
        <f>Tax!G66</f>
        <v>0</v>
      </c>
      <c r="H38" s="119">
        <f>Tax!H66</f>
        <v>93657.728423178676</v>
      </c>
      <c r="I38" s="119">
        <f>Tax!I66</f>
        <v>1832193.1408277065</v>
      </c>
      <c r="J38" s="119">
        <f>Tax!J66</f>
        <v>1886989.1151251188</v>
      </c>
      <c r="K38" s="119">
        <f>Tax!K66</f>
        <v>1945499.1820400073</v>
      </c>
      <c r="L38" s="119">
        <f>Tax!L66</f>
        <v>2007983.4041537666</v>
      </c>
      <c r="M38" s="119">
        <f>Tax!M66</f>
        <v>2074720.1351386562</v>
      </c>
      <c r="N38" s="119">
        <f>Tax!N66</f>
        <v>2146007.3029703051</v>
      </c>
      <c r="O38" s="119">
        <f>Tax!O66</f>
        <v>2222163.7829983211</v>
      </c>
      <c r="P38" s="119">
        <f>Tax!P66</f>
        <v>2303530.867166264</v>
      </c>
      <c r="Q38" s="119">
        <f>Tax!Q66</f>
        <v>2390473.8361126198</v>
      </c>
      <c r="R38" s="119">
        <f>Tax!R66</f>
        <v>2483383.641355678</v>
      </c>
      <c r="S38" s="119">
        <f>Tax!S66</f>
        <v>2582678.7052693963</v>
      </c>
      <c r="T38" s="119">
        <f>Tax!T66</f>
        <v>2688806.847096859</v>
      </c>
      <c r="U38" s="119">
        <f>Tax!U66</f>
        <v>2802247.3438252518</v>
      </c>
      <c r="V38" s="119">
        <f>Tax!V66</f>
        <v>2803071.5198184024</v>
      </c>
      <c r="W38" s="119">
        <f>Tax!W66</f>
        <v>1698772.878711937</v>
      </c>
      <c r="X38" s="119">
        <f>Tax!X66</f>
        <v>1679214.9075114236</v>
      </c>
      <c r="Y38" s="119">
        <f>Tax!Y66</f>
        <v>1659568.5723880699</v>
      </c>
      <c r="Z38" s="119">
        <f>Tax!Z66</f>
        <v>1639830.5926318855</v>
      </c>
      <c r="AA38" s="119">
        <f>Tax!AA66</f>
        <v>1619997.6221615316</v>
      </c>
      <c r="AB38" s="119">
        <f>Tax!AB66</f>
        <v>1600066.2483946013</v>
      </c>
      <c r="AC38" s="119">
        <f>Tax!AC66</f>
        <v>1580032.991090948</v>
      </c>
      <c r="AD38" s="119">
        <f>Tax!AD66</f>
        <v>1559894.3011686152</v>
      </c>
      <c r="AE38" s="119">
        <f>Tax!AE66</f>
        <v>1539646.5594918781</v>
      </c>
      <c r="AF38" s="119">
        <f>Tax!AF66</f>
        <v>1519286.0756309365</v>
      </c>
    </row>
    <row r="39" spans="1:32" ht="16.5" customHeight="1" x14ac:dyDescent="0.35">
      <c r="B39" s="251" t="s">
        <v>410</v>
      </c>
      <c r="C39" s="116">
        <f>Tax!C62</f>
        <v>27897000</v>
      </c>
      <c r="D39" s="116">
        <f>Tax!D62</f>
        <v>44635200</v>
      </c>
      <c r="E39" s="116">
        <f>Tax!E62</f>
        <v>26781120</v>
      </c>
      <c r="F39" s="116">
        <f>Tax!F62</f>
        <v>16068672</v>
      </c>
      <c r="G39" s="116">
        <f>Tax!G62</f>
        <v>16068672</v>
      </c>
      <c r="H39" s="116">
        <f>Tax!H62</f>
        <v>8034336</v>
      </c>
      <c r="I39" s="116">
        <f>Tax!I62</f>
        <v>0</v>
      </c>
      <c r="J39" s="116">
        <f>Tax!J62</f>
        <v>0</v>
      </c>
      <c r="K39" s="116">
        <f>Tax!K62</f>
        <v>0</v>
      </c>
      <c r="L39" s="116">
        <f>Tax!L62</f>
        <v>0</v>
      </c>
      <c r="M39" s="116">
        <f>Tax!M62</f>
        <v>0</v>
      </c>
      <c r="N39" s="116">
        <f>Tax!N62</f>
        <v>0</v>
      </c>
      <c r="O39" s="116">
        <f>Tax!O62</f>
        <v>0</v>
      </c>
      <c r="P39" s="116">
        <f>Tax!P62</f>
        <v>0</v>
      </c>
      <c r="Q39" s="116">
        <f>Tax!Q62</f>
        <v>0</v>
      </c>
      <c r="R39" s="116">
        <f>Tax!R62</f>
        <v>0</v>
      </c>
      <c r="S39" s="116">
        <f>Tax!S62</f>
        <v>0</v>
      </c>
      <c r="T39" s="116">
        <f>Tax!T62</f>
        <v>0</v>
      </c>
      <c r="U39" s="116">
        <f>Tax!U62</f>
        <v>0</v>
      </c>
      <c r="V39" s="116">
        <f>Tax!V62</f>
        <v>0</v>
      </c>
      <c r="W39" s="116">
        <f>Tax!W62</f>
        <v>0</v>
      </c>
      <c r="X39" s="116">
        <f>Tax!X62</f>
        <v>0</v>
      </c>
      <c r="Y39" s="116">
        <f>Tax!Y62</f>
        <v>0</v>
      </c>
      <c r="Z39" s="116">
        <f>Tax!Z62</f>
        <v>0</v>
      </c>
      <c r="AA39" s="116">
        <f>Tax!AA62</f>
        <v>0</v>
      </c>
      <c r="AB39" s="116">
        <f>Tax!AB62</f>
        <v>0</v>
      </c>
      <c r="AC39" s="116">
        <f>Tax!AC62</f>
        <v>0</v>
      </c>
      <c r="AD39" s="116">
        <f>Tax!AD62</f>
        <v>0</v>
      </c>
      <c r="AE39" s="116">
        <f>Tax!AE62</f>
        <v>0</v>
      </c>
      <c r="AF39" s="116">
        <f>Tax!AF62</f>
        <v>0</v>
      </c>
    </row>
    <row r="40" spans="1:32" ht="18" customHeight="1" x14ac:dyDescent="0.35">
      <c r="B40" s="325" t="s">
        <v>411</v>
      </c>
      <c r="C40" s="176">
        <f t="shared" ref="C40:AF40" si="8">C34-C38</f>
        <v>13240003.640000001</v>
      </c>
      <c r="D40" s="176">
        <f t="shared" si="8"/>
        <v>13246935.7243305</v>
      </c>
      <c r="E40" s="176">
        <f t="shared" si="8"/>
        <v>13253779.644148258</v>
      </c>
      <c r="F40" s="176">
        <f t="shared" si="8"/>
        <v>13260527.388321813</v>
      </c>
      <c r="G40" s="176">
        <f t="shared" si="8"/>
        <v>13267170.719829496</v>
      </c>
      <c r="H40" s="176">
        <f t="shared" si="8"/>
        <v>13180043.444194442</v>
      </c>
      <c r="I40" s="176">
        <f t="shared" si="8"/>
        <v>11447916.907536997</v>
      </c>
      <c r="J40" s="176">
        <f t="shared" si="8"/>
        <v>11399399.298024993</v>
      </c>
      <c r="K40" s="176">
        <f t="shared" si="8"/>
        <v>11347027.911986008</v>
      </c>
      <c r="L40" s="176">
        <f t="shared" si="8"/>
        <v>11290533.27133722</v>
      </c>
      <c r="M40" s="176">
        <f t="shared" si="8"/>
        <v>11229627.360725408</v>
      </c>
      <c r="N40" s="176">
        <f t="shared" si="8"/>
        <v>11164002.340587318</v>
      </c>
      <c r="O40" s="176">
        <f t="shared" si="8"/>
        <v>11093329.170249276</v>
      </c>
      <c r="P40" s="176">
        <f t="shared" si="8"/>
        <v>11017256.134773249</v>
      </c>
      <c r="Q40" s="176">
        <f t="shared" si="8"/>
        <v>10935407.268816087</v>
      </c>
      <c r="R40" s="176">
        <f t="shared" si="8"/>
        <v>10847380.670297455</v>
      </c>
      <c r="S40" s="176">
        <f t="shared" si="8"/>
        <v>10752746.696167665</v>
      </c>
      <c r="T40" s="176">
        <f t="shared" si="8"/>
        <v>10651046.032027023</v>
      </c>
      <c r="U40" s="176">
        <f t="shared" si="8"/>
        <v>10541787.626771186</v>
      </c>
      <c r="V40" s="176">
        <f t="shared" si="8"/>
        <v>10544888.098364465</v>
      </c>
      <c r="W40" s="176">
        <f t="shared" si="8"/>
        <v>6390621.7818210935</v>
      </c>
      <c r="X40" s="176">
        <f t="shared" si="8"/>
        <v>6317046.556828687</v>
      </c>
      <c r="Y40" s="176">
        <f t="shared" si="8"/>
        <v>6243138.9151741657</v>
      </c>
      <c r="Z40" s="176">
        <f t="shared" si="8"/>
        <v>6168886.5151389949</v>
      </c>
      <c r="AA40" s="176">
        <f t="shared" si="8"/>
        <v>6094276.7690838529</v>
      </c>
      <c r="AB40" s="176">
        <f t="shared" si="8"/>
        <v>6019296.8391987346</v>
      </c>
      <c r="AC40" s="176">
        <f t="shared" si="8"/>
        <v>5943933.6331516588</v>
      </c>
      <c r="AD40" s="176">
        <f t="shared" si="8"/>
        <v>5868173.7996343104</v>
      </c>
      <c r="AE40" s="176">
        <f t="shared" si="8"/>
        <v>5792003.7238027751</v>
      </c>
      <c r="AF40" s="176">
        <f t="shared" si="8"/>
        <v>5715409.5226116134</v>
      </c>
    </row>
    <row r="41" spans="1:32" ht="16.5" customHeight="1" x14ac:dyDescent="0.35">
      <c r="B41" s="142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</row>
    <row r="42" spans="1:32" ht="16.5" customHeight="1" x14ac:dyDescent="0.35">
      <c r="A42" s="282" t="s">
        <v>412</v>
      </c>
      <c r="B42" s="282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</row>
    <row r="43" spans="1:32" ht="18" customHeight="1" x14ac:dyDescent="0.35">
      <c r="B43" s="328" t="s">
        <v>411</v>
      </c>
      <c r="C43" s="116">
        <f t="shared" ref="C43:AF43" si="9">C40</f>
        <v>13240003.640000001</v>
      </c>
      <c r="D43" s="116">
        <f t="shared" si="9"/>
        <v>13246935.7243305</v>
      </c>
      <c r="E43" s="116">
        <f t="shared" si="9"/>
        <v>13253779.644148258</v>
      </c>
      <c r="F43" s="116">
        <f t="shared" si="9"/>
        <v>13260527.388321813</v>
      </c>
      <c r="G43" s="116">
        <f t="shared" si="9"/>
        <v>13267170.719829496</v>
      </c>
      <c r="H43" s="116">
        <f t="shared" si="9"/>
        <v>13180043.444194442</v>
      </c>
      <c r="I43" s="116">
        <f t="shared" si="9"/>
        <v>11447916.907536997</v>
      </c>
      <c r="J43" s="116">
        <f t="shared" si="9"/>
        <v>11399399.298024993</v>
      </c>
      <c r="K43" s="116">
        <f t="shared" si="9"/>
        <v>11347027.911986008</v>
      </c>
      <c r="L43" s="116">
        <f t="shared" si="9"/>
        <v>11290533.27133722</v>
      </c>
      <c r="M43" s="116">
        <f t="shared" si="9"/>
        <v>11229627.360725408</v>
      </c>
      <c r="N43" s="116">
        <f t="shared" si="9"/>
        <v>11164002.340587318</v>
      </c>
      <c r="O43" s="116">
        <f t="shared" si="9"/>
        <v>11093329.170249276</v>
      </c>
      <c r="P43" s="116">
        <f t="shared" si="9"/>
        <v>11017256.134773249</v>
      </c>
      <c r="Q43" s="116">
        <f t="shared" si="9"/>
        <v>10935407.268816087</v>
      </c>
      <c r="R43" s="116">
        <f t="shared" si="9"/>
        <v>10847380.670297455</v>
      </c>
      <c r="S43" s="116">
        <f t="shared" si="9"/>
        <v>10752746.696167665</v>
      </c>
      <c r="T43" s="116">
        <f t="shared" si="9"/>
        <v>10651046.032027023</v>
      </c>
      <c r="U43" s="116">
        <f t="shared" si="9"/>
        <v>10541787.626771186</v>
      </c>
      <c r="V43" s="116">
        <f t="shared" si="9"/>
        <v>10544888.098364465</v>
      </c>
      <c r="W43" s="116">
        <f t="shared" si="9"/>
        <v>6390621.7818210935</v>
      </c>
      <c r="X43" s="116">
        <f t="shared" si="9"/>
        <v>6317046.556828687</v>
      </c>
      <c r="Y43" s="116">
        <f t="shared" si="9"/>
        <v>6243138.9151741657</v>
      </c>
      <c r="Z43" s="116">
        <f t="shared" si="9"/>
        <v>6168886.5151389949</v>
      </c>
      <c r="AA43" s="116">
        <f t="shared" si="9"/>
        <v>6094276.7690838529</v>
      </c>
      <c r="AB43" s="116">
        <f t="shared" si="9"/>
        <v>6019296.8391987346</v>
      </c>
      <c r="AC43" s="116">
        <f t="shared" si="9"/>
        <v>5943933.6331516588</v>
      </c>
      <c r="AD43" s="116">
        <f t="shared" si="9"/>
        <v>5868173.7996343104</v>
      </c>
      <c r="AE43" s="116">
        <f t="shared" si="9"/>
        <v>5792003.7238027751</v>
      </c>
      <c r="AF43" s="116">
        <f t="shared" si="9"/>
        <v>5715409.5226116134</v>
      </c>
    </row>
    <row r="44" spans="1:32" ht="16.5" customHeight="1" x14ac:dyDescent="0.35">
      <c r="B44" s="326" t="s">
        <v>78</v>
      </c>
      <c r="C44" s="327">
        <f t="shared" ref="C44:AF44" si="10">C24</f>
        <v>8193307.1799658062</v>
      </c>
      <c r="D44" s="327">
        <f t="shared" si="10"/>
        <v>8193307.1799658062</v>
      </c>
      <c r="E44" s="327">
        <f t="shared" si="10"/>
        <v>8193307.1799658062</v>
      </c>
      <c r="F44" s="327">
        <f t="shared" si="10"/>
        <v>8193307.1799658062</v>
      </c>
      <c r="G44" s="327">
        <f t="shared" si="10"/>
        <v>8193307.1799658062</v>
      </c>
      <c r="H44" s="327">
        <f t="shared" si="10"/>
        <v>8193307.1799658062</v>
      </c>
      <c r="I44" s="327">
        <f t="shared" si="10"/>
        <v>8193307.1799658062</v>
      </c>
      <c r="J44" s="327">
        <f t="shared" si="10"/>
        <v>8193307.1799658062</v>
      </c>
      <c r="K44" s="327">
        <f t="shared" si="10"/>
        <v>8193307.1799658062</v>
      </c>
      <c r="L44" s="327">
        <f t="shared" si="10"/>
        <v>8193307.1799658062</v>
      </c>
      <c r="M44" s="327">
        <f t="shared" si="10"/>
        <v>8193307.1799658062</v>
      </c>
      <c r="N44" s="327">
        <f t="shared" si="10"/>
        <v>8193307.1799658062</v>
      </c>
      <c r="O44" s="327">
        <f t="shared" si="10"/>
        <v>8193307.1799658062</v>
      </c>
      <c r="P44" s="327">
        <f t="shared" si="10"/>
        <v>8193307.1799658062</v>
      </c>
      <c r="Q44" s="327">
        <f t="shared" si="10"/>
        <v>8193307.1799658062</v>
      </c>
      <c r="R44" s="327">
        <f t="shared" si="10"/>
        <v>8193307.1799658062</v>
      </c>
      <c r="S44" s="327">
        <f t="shared" si="10"/>
        <v>8193307.1799658062</v>
      </c>
      <c r="T44" s="327">
        <f t="shared" si="10"/>
        <v>8193307.1799658062</v>
      </c>
      <c r="U44" s="327">
        <f t="shared" si="10"/>
        <v>0</v>
      </c>
      <c r="V44" s="327">
        <f t="shared" si="10"/>
        <v>0</v>
      </c>
      <c r="W44" s="327">
        <f t="shared" si="10"/>
        <v>0</v>
      </c>
      <c r="X44" s="327">
        <f t="shared" si="10"/>
        <v>0</v>
      </c>
      <c r="Y44" s="327">
        <f t="shared" si="10"/>
        <v>0</v>
      </c>
      <c r="Z44" s="327">
        <f t="shared" si="10"/>
        <v>0</v>
      </c>
      <c r="AA44" s="327">
        <f t="shared" si="10"/>
        <v>0</v>
      </c>
      <c r="AB44" s="327">
        <f t="shared" si="10"/>
        <v>0</v>
      </c>
      <c r="AC44" s="327">
        <f t="shared" si="10"/>
        <v>0</v>
      </c>
      <c r="AD44" s="327">
        <f t="shared" si="10"/>
        <v>0</v>
      </c>
      <c r="AE44" s="327">
        <f t="shared" si="10"/>
        <v>0</v>
      </c>
      <c r="AF44" s="327">
        <f t="shared" si="10"/>
        <v>0</v>
      </c>
    </row>
    <row r="45" spans="1:32" ht="16.5" customHeight="1" x14ac:dyDescent="0.35">
      <c r="B45" s="251" t="s">
        <v>413</v>
      </c>
      <c r="C45" s="110">
        <f t="shared" ref="C45:AF45" si="11">IF(C44=0,"N/A",C43/C44)</f>
        <v>1.6159535275785004</v>
      </c>
      <c r="D45" s="110">
        <f t="shared" si="11"/>
        <v>1.616799594273943</v>
      </c>
      <c r="E45" s="110">
        <f t="shared" si="11"/>
        <v>1.6176349004168022</v>
      </c>
      <c r="F45" s="110">
        <f t="shared" si="11"/>
        <v>1.6184584682417771</v>
      </c>
      <c r="G45" s="110">
        <f t="shared" si="11"/>
        <v>1.6192692924134775</v>
      </c>
      <c r="H45" s="110">
        <f t="shared" si="11"/>
        <v>1.6086353354872565</v>
      </c>
      <c r="I45" s="110">
        <f t="shared" si="11"/>
        <v>1.3972278417107722</v>
      </c>
      <c r="J45" s="110">
        <f t="shared" si="11"/>
        <v>1.3913062268553402</v>
      </c>
      <c r="K45" s="110">
        <f t="shared" si="11"/>
        <v>1.3849142553487619</v>
      </c>
      <c r="L45" s="110">
        <f t="shared" si="11"/>
        <v>1.3780190371654466</v>
      </c>
      <c r="M45" s="110">
        <f t="shared" si="11"/>
        <v>1.3705854197904337</v>
      </c>
      <c r="N45" s="110">
        <f t="shared" si="11"/>
        <v>1.3625758311473328</v>
      </c>
      <c r="O45" s="110">
        <f t="shared" si="11"/>
        <v>1.3539501115464796</v>
      </c>
      <c r="P45" s="110">
        <f t="shared" si="11"/>
        <v>1.3446653338852637</v>
      </c>
      <c r="Q45" s="110">
        <f t="shared" si="11"/>
        <v>1.3346756112788298</v>
      </c>
      <c r="R45" s="110">
        <f t="shared" si="11"/>
        <v>1.3239318912418374</v>
      </c>
      <c r="S45" s="110">
        <f t="shared" si="11"/>
        <v>1.3123817354804144</v>
      </c>
      <c r="T45" s="110">
        <f t="shared" si="11"/>
        <v>1.2999690842875824</v>
      </c>
      <c r="U45" s="110" t="str">
        <f t="shared" si="11"/>
        <v>N/A</v>
      </c>
      <c r="V45" s="110" t="str">
        <f t="shared" si="11"/>
        <v>N/A</v>
      </c>
      <c r="W45" s="110" t="str">
        <f t="shared" si="11"/>
        <v>N/A</v>
      </c>
      <c r="X45" s="110" t="str">
        <f t="shared" si="11"/>
        <v>N/A</v>
      </c>
      <c r="Y45" s="110" t="str">
        <f t="shared" si="11"/>
        <v>N/A</v>
      </c>
      <c r="Z45" s="110" t="str">
        <f t="shared" si="11"/>
        <v>N/A</v>
      </c>
      <c r="AA45" s="110" t="str">
        <f t="shared" si="11"/>
        <v>N/A</v>
      </c>
      <c r="AB45" s="110" t="str">
        <f t="shared" si="11"/>
        <v>N/A</v>
      </c>
      <c r="AC45" s="110" t="str">
        <f t="shared" si="11"/>
        <v>N/A</v>
      </c>
      <c r="AD45" s="110" t="str">
        <f t="shared" si="11"/>
        <v>N/A</v>
      </c>
      <c r="AE45" s="110" t="str">
        <f t="shared" si="11"/>
        <v>N/A</v>
      </c>
      <c r="AF45" s="110" t="str">
        <f t="shared" si="11"/>
        <v>N/A</v>
      </c>
    </row>
    <row r="46" spans="1:32" ht="16.5" customHeight="1" x14ac:dyDescent="0.35">
      <c r="B46" s="253" t="s">
        <v>271</v>
      </c>
      <c r="C46" s="118">
        <f>Inputs!$D$69</f>
        <v>1.3</v>
      </c>
      <c r="D46" s="118">
        <f>Inputs!$D$69</f>
        <v>1.3</v>
      </c>
      <c r="E46" s="118">
        <f>Inputs!$D$69</f>
        <v>1.3</v>
      </c>
      <c r="F46" s="118">
        <f>Inputs!$D$69</f>
        <v>1.3</v>
      </c>
      <c r="G46" s="118">
        <f>Inputs!$D$69</f>
        <v>1.3</v>
      </c>
      <c r="H46" s="118">
        <f>Inputs!$D$69</f>
        <v>1.3</v>
      </c>
      <c r="I46" s="118">
        <f>Inputs!$D$69</f>
        <v>1.3</v>
      </c>
      <c r="J46" s="118">
        <f>Inputs!$D$69</f>
        <v>1.3</v>
      </c>
      <c r="K46" s="118">
        <f>Inputs!$D$69</f>
        <v>1.3</v>
      </c>
      <c r="L46" s="118">
        <f>Inputs!$D$69</f>
        <v>1.3</v>
      </c>
      <c r="M46" s="118">
        <f>Inputs!$D$69</f>
        <v>1.3</v>
      </c>
      <c r="N46" s="118">
        <f>Inputs!$D$69</f>
        <v>1.3</v>
      </c>
      <c r="O46" s="118">
        <f>Inputs!$D$69</f>
        <v>1.3</v>
      </c>
      <c r="P46" s="118">
        <f>Inputs!$D$69</f>
        <v>1.3</v>
      </c>
      <c r="Q46" s="118">
        <f>Inputs!$D$69</f>
        <v>1.3</v>
      </c>
      <c r="R46" s="118">
        <f>Inputs!$D$69</f>
        <v>1.3</v>
      </c>
      <c r="S46" s="118">
        <f>Inputs!$D$69</f>
        <v>1.3</v>
      </c>
      <c r="T46" s="118">
        <f>Inputs!$D$69</f>
        <v>1.3</v>
      </c>
      <c r="U46" s="118">
        <f>Inputs!$D$69</f>
        <v>1.3</v>
      </c>
      <c r="V46" s="118">
        <f>Inputs!$D$69</f>
        <v>1.3</v>
      </c>
      <c r="W46" s="118">
        <f>Inputs!$D$69</f>
        <v>1.3</v>
      </c>
      <c r="X46" s="118">
        <f>Inputs!$D$69</f>
        <v>1.3</v>
      </c>
      <c r="Y46" s="118">
        <f>Inputs!$D$69</f>
        <v>1.3</v>
      </c>
      <c r="Z46" s="118">
        <f>Inputs!$D$69</f>
        <v>1.3</v>
      </c>
      <c r="AA46" s="118">
        <f>Inputs!$D$69</f>
        <v>1.3</v>
      </c>
      <c r="AB46" s="118">
        <f>Inputs!$D$69</f>
        <v>1.3</v>
      </c>
      <c r="AC46" s="118">
        <f>Inputs!$D$69</f>
        <v>1.3</v>
      </c>
      <c r="AD46" s="118">
        <f>Inputs!$D$69</f>
        <v>1.3</v>
      </c>
      <c r="AE46" s="118">
        <f>Inputs!$D$69</f>
        <v>1.3</v>
      </c>
      <c r="AF46" s="118">
        <f>Inputs!$D$69</f>
        <v>1.3</v>
      </c>
    </row>
    <row r="47" spans="1:32" ht="16.5" customHeight="1" x14ac:dyDescent="0.35">
      <c r="B47" s="251" t="s">
        <v>414</v>
      </c>
      <c r="C47" s="110">
        <f t="shared" ref="C47:T47" si="12">C45-C46</f>
        <v>0.31595352757850037</v>
      </c>
      <c r="D47" s="110">
        <f t="shared" si="12"/>
        <v>0.316799594273943</v>
      </c>
      <c r="E47" s="110">
        <f t="shared" si="12"/>
        <v>0.3176349004168022</v>
      </c>
      <c r="F47" s="110">
        <f t="shared" si="12"/>
        <v>0.31845846824177704</v>
      </c>
      <c r="G47" s="110">
        <f t="shared" si="12"/>
        <v>0.31926929241347746</v>
      </c>
      <c r="H47" s="110">
        <f t="shared" si="12"/>
        <v>0.30863533548725641</v>
      </c>
      <c r="I47" s="110">
        <f t="shared" si="12"/>
        <v>9.7227841710772145E-2</v>
      </c>
      <c r="J47" s="110">
        <f t="shared" si="12"/>
        <v>9.1306226855340178E-2</v>
      </c>
      <c r="K47" s="110">
        <f t="shared" si="12"/>
        <v>8.4914255348761847E-2</v>
      </c>
      <c r="L47" s="110">
        <f t="shared" si="12"/>
        <v>7.8019037165446559E-2</v>
      </c>
      <c r="M47" s="110">
        <f t="shared" si="12"/>
        <v>7.0585419790433646E-2</v>
      </c>
      <c r="N47" s="110">
        <f t="shared" si="12"/>
        <v>6.2575831147332783E-2</v>
      </c>
      <c r="O47" s="110">
        <f t="shared" si="12"/>
        <v>5.3950111546479551E-2</v>
      </c>
      <c r="P47" s="110">
        <f t="shared" si="12"/>
        <v>4.4665333885263614E-2</v>
      </c>
      <c r="Q47" s="110">
        <f t="shared" si="12"/>
        <v>3.4675611278829788E-2</v>
      </c>
      <c r="R47" s="110">
        <f t="shared" si="12"/>
        <v>2.3931891241837366E-2</v>
      </c>
      <c r="S47" s="110">
        <f t="shared" si="12"/>
        <v>1.2381735480414324E-2</v>
      </c>
      <c r="T47" s="123">
        <f t="shared" si="12"/>
        <v>-3.0915712417645125E-5</v>
      </c>
      <c r="U47" s="110" t="str">
        <f t="shared" ref="U47:AF47" si="13">IFERROR(U45-U46,"")</f>
        <v/>
      </c>
      <c r="V47" s="110" t="str">
        <f t="shared" si="13"/>
        <v/>
      </c>
      <c r="W47" s="110" t="str">
        <f t="shared" si="13"/>
        <v/>
      </c>
      <c r="X47" s="110" t="str">
        <f t="shared" si="13"/>
        <v/>
      </c>
      <c r="Y47" s="110" t="str">
        <f t="shared" si="13"/>
        <v/>
      </c>
      <c r="Z47" s="110" t="str">
        <f t="shared" si="13"/>
        <v/>
      </c>
      <c r="AA47" s="110" t="str">
        <f t="shared" si="13"/>
        <v/>
      </c>
      <c r="AB47" s="110" t="str">
        <f t="shared" si="13"/>
        <v/>
      </c>
      <c r="AC47" s="110" t="str">
        <f t="shared" si="13"/>
        <v/>
      </c>
      <c r="AD47" s="110" t="str">
        <f t="shared" si="13"/>
        <v/>
      </c>
      <c r="AE47" s="110" t="str">
        <f t="shared" si="13"/>
        <v/>
      </c>
      <c r="AF47" s="110" t="str">
        <f t="shared" si="13"/>
        <v/>
      </c>
    </row>
    <row r="48" spans="1:32" ht="16.5" customHeight="1" x14ac:dyDescent="0.35">
      <c r="B48" s="253" t="s">
        <v>415</v>
      </c>
      <c r="C48" s="119" t="str">
        <f t="shared" ref="C48:AF48" si="14">IF(C47&lt;0,"BREACH","OK")</f>
        <v>OK</v>
      </c>
      <c r="D48" s="119" t="str">
        <f t="shared" si="14"/>
        <v>OK</v>
      </c>
      <c r="E48" s="119" t="str">
        <f t="shared" si="14"/>
        <v>OK</v>
      </c>
      <c r="F48" s="119" t="str">
        <f t="shared" si="14"/>
        <v>OK</v>
      </c>
      <c r="G48" s="119" t="str">
        <f t="shared" si="14"/>
        <v>OK</v>
      </c>
      <c r="H48" s="119" t="str">
        <f t="shared" si="14"/>
        <v>OK</v>
      </c>
      <c r="I48" s="119" t="str">
        <f t="shared" si="14"/>
        <v>OK</v>
      </c>
      <c r="J48" s="119" t="str">
        <f t="shared" si="14"/>
        <v>OK</v>
      </c>
      <c r="K48" s="119" t="str">
        <f t="shared" si="14"/>
        <v>OK</v>
      </c>
      <c r="L48" s="119" t="str">
        <f t="shared" si="14"/>
        <v>OK</v>
      </c>
      <c r="M48" s="119" t="str">
        <f t="shared" si="14"/>
        <v>OK</v>
      </c>
      <c r="N48" s="119" t="str">
        <f t="shared" si="14"/>
        <v>OK</v>
      </c>
      <c r="O48" s="119" t="str">
        <f t="shared" si="14"/>
        <v>OK</v>
      </c>
      <c r="P48" s="119" t="str">
        <f t="shared" si="14"/>
        <v>OK</v>
      </c>
      <c r="Q48" s="119" t="str">
        <f t="shared" si="14"/>
        <v>OK</v>
      </c>
      <c r="R48" s="119" t="str">
        <f t="shared" si="14"/>
        <v>OK</v>
      </c>
      <c r="S48" s="119" t="str">
        <f t="shared" si="14"/>
        <v>OK</v>
      </c>
      <c r="T48" s="119" t="str">
        <f t="shared" si="14"/>
        <v>BREACH</v>
      </c>
      <c r="U48" s="119" t="str">
        <f t="shared" si="14"/>
        <v>OK</v>
      </c>
      <c r="V48" s="119" t="str">
        <f t="shared" si="14"/>
        <v>OK</v>
      </c>
      <c r="W48" s="119" t="str">
        <f t="shared" si="14"/>
        <v>OK</v>
      </c>
      <c r="X48" s="119" t="str">
        <f t="shared" si="14"/>
        <v>OK</v>
      </c>
      <c r="Y48" s="119" t="str">
        <f t="shared" si="14"/>
        <v>OK</v>
      </c>
      <c r="Z48" s="119" t="str">
        <f t="shared" si="14"/>
        <v>OK</v>
      </c>
      <c r="AA48" s="119" t="str">
        <f t="shared" si="14"/>
        <v>OK</v>
      </c>
      <c r="AB48" s="119" t="str">
        <f t="shared" si="14"/>
        <v>OK</v>
      </c>
      <c r="AC48" s="119" t="str">
        <f t="shared" si="14"/>
        <v>OK</v>
      </c>
      <c r="AD48" s="119" t="str">
        <f t="shared" si="14"/>
        <v>OK</v>
      </c>
      <c r="AE48" s="119" t="str">
        <f t="shared" si="14"/>
        <v>OK</v>
      </c>
      <c r="AF48" s="119" t="str">
        <f t="shared" si="14"/>
        <v>OK</v>
      </c>
    </row>
    <row r="49" spans="2:32" ht="18" customHeight="1" x14ac:dyDescent="0.35">
      <c r="B49" s="261" t="s">
        <v>416</v>
      </c>
      <c r="C49" s="151">
        <f>MIN(C45:T45)</f>
        <v>1.2999690842875824</v>
      </c>
      <c r="D49" s="178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</row>
    <row r="50" spans="2:32" ht="16.5" customHeight="1" x14ac:dyDescent="0.35">
      <c r="B50" s="278" t="s">
        <v>417</v>
      </c>
      <c r="C50" s="174">
        <f>AVERAGE(C45:T45)</f>
        <v>1.4417196387861249</v>
      </c>
      <c r="D50" s="171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</row>
    <row r="51" spans="2:32" ht="16.5" customHeight="1" x14ac:dyDescent="0.35">
      <c r="B51" s="251" t="s">
        <v>418</v>
      </c>
      <c r="C51" s="150">
        <f>C40/C44</f>
        <v>1.6159535275785004</v>
      </c>
      <c r="D51" s="171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</row>
  </sheetData>
  <mergeCells count="1">
    <mergeCell ref="A1:AF1"/>
  </mergeCells>
  <conditionalFormatting sqref="C12">
    <cfRule type="cellIs" dxfId="32" priority="1" operator="lessThan">
      <formula>0</formula>
    </cfRule>
    <cfRule type="cellIs" dxfId="31" priority="2" operator="greaterThan">
      <formula>0</formula>
    </cfRule>
  </conditionalFormatting>
  <conditionalFormatting sqref="T27">
    <cfRule type="cellIs" dxfId="30" priority="5" operator="equal">
      <formula>"PASS"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F66"/>
  <sheetViews>
    <sheetView showGridLines="0" zoomScaleNormal="100" workbookViewId="0">
      <pane xSplit="2" ySplit="15" topLeftCell="N31" activePane="bottomRight" state="frozen"/>
      <selection pane="topRight" activeCell="C1" sqref="C1"/>
      <selection pane="bottomLeft" activeCell="A16" sqref="A16"/>
      <selection pane="bottomRight" activeCell="B15" sqref="B15"/>
    </sheetView>
  </sheetViews>
  <sheetFormatPr defaultColWidth="8.7265625" defaultRowHeight="14.5" x14ac:dyDescent="0.35"/>
  <cols>
    <col min="1" max="1" width="1" customWidth="1"/>
    <col min="2" max="2" width="37.26953125" bestFit="1" customWidth="1"/>
    <col min="3" max="4" width="14" bestFit="1" customWidth="1"/>
    <col min="5" max="8" width="12.453125" bestFit="1" customWidth="1"/>
    <col min="9" max="32" width="11.453125" bestFit="1" customWidth="1"/>
  </cols>
  <sheetData>
    <row r="1" spans="1:32" ht="27.75" customHeight="1" thickBot="1" x14ac:dyDescent="0.4">
      <c r="A1" s="512" t="s">
        <v>419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513"/>
      <c r="AC1" s="513"/>
      <c r="AD1" s="513"/>
      <c r="AE1" s="513"/>
      <c r="AF1" s="513"/>
    </row>
    <row r="2" spans="1:32" ht="16.5" customHeight="1" thickBot="1" x14ac:dyDescent="0.4">
      <c r="A2" s="82" t="s">
        <v>420</v>
      </c>
      <c r="B2" s="82"/>
      <c r="C2" s="82"/>
      <c r="D2" s="171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</row>
    <row r="3" spans="1:32" ht="16.5" customHeight="1" x14ac:dyDescent="0.35">
      <c r="B3" s="251" t="s">
        <v>374</v>
      </c>
      <c r="C3" s="258">
        <f>Costs!C13</f>
        <v>172100000</v>
      </c>
      <c r="D3" s="171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</row>
    <row r="4" spans="1:32" ht="16.5" customHeight="1" x14ac:dyDescent="0.35">
      <c r="B4" s="278" t="s">
        <v>421</v>
      </c>
      <c r="C4" s="329">
        <f>Costs!$C$8</f>
        <v>5000000</v>
      </c>
      <c r="D4" s="171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</row>
    <row r="5" spans="1:32" ht="16.5" customHeight="1" x14ac:dyDescent="0.35">
      <c r="B5" s="251" t="s">
        <v>422</v>
      </c>
      <c r="C5" s="258">
        <f>Costs!$C$12</f>
        <v>3000000</v>
      </c>
      <c r="D5" s="171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</row>
    <row r="6" spans="1:32" ht="16.5" customHeight="1" x14ac:dyDescent="0.35">
      <c r="B6" s="278" t="s">
        <v>423</v>
      </c>
      <c r="C6" s="329">
        <f>C3-C4-C5</f>
        <v>164100000</v>
      </c>
      <c r="D6" s="171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</row>
    <row r="7" spans="1:32" ht="16.5" customHeight="1" x14ac:dyDescent="0.35">
      <c r="B7" s="251" t="s">
        <v>424</v>
      </c>
      <c r="C7" s="330">
        <f>Inputs!$D$87</f>
        <v>0.3</v>
      </c>
      <c r="D7" s="171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6.5" customHeight="1" x14ac:dyDescent="0.35">
      <c r="B8" s="278" t="s">
        <v>425</v>
      </c>
      <c r="C8" s="329">
        <f>C6*C7</f>
        <v>49230000</v>
      </c>
      <c r="D8" s="171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</row>
    <row r="9" spans="1:32" ht="16.5" customHeight="1" x14ac:dyDescent="0.35">
      <c r="B9" s="251" t="s">
        <v>426</v>
      </c>
      <c r="C9" s="289">
        <f>Inputs!$D$88</f>
        <v>0.92500000000000004</v>
      </c>
      <c r="D9" s="171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8" customHeight="1" x14ac:dyDescent="0.35">
      <c r="B10" s="261" t="s">
        <v>365</v>
      </c>
      <c r="C10" s="287">
        <f>C8*C9</f>
        <v>45537750</v>
      </c>
      <c r="D10" s="172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</row>
    <row r="11" spans="1:32" ht="16.5" customHeight="1" x14ac:dyDescent="0.35">
      <c r="B11" s="251" t="s">
        <v>427</v>
      </c>
      <c r="C11" s="258">
        <f>C8*0.5</f>
        <v>24615000</v>
      </c>
      <c r="D11" s="171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</row>
    <row r="12" spans="1:32" ht="18" customHeight="1" x14ac:dyDescent="0.35">
      <c r="B12" s="341" t="s">
        <v>428</v>
      </c>
      <c r="C12" s="342">
        <f>C6-C11</f>
        <v>139485000</v>
      </c>
      <c r="D12" s="172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</row>
    <row r="13" spans="1:32" ht="16.5" customHeight="1" x14ac:dyDescent="0.35">
      <c r="B13" s="142"/>
      <c r="C13" s="155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6.5" customHeight="1" x14ac:dyDescent="0.35">
      <c r="B14" s="142"/>
      <c r="C14" s="155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8" customHeight="1" x14ac:dyDescent="0.35">
      <c r="B15" s="318" t="s">
        <v>303</v>
      </c>
      <c r="C15" s="318">
        <v>1</v>
      </c>
      <c r="D15" s="318">
        <v>2</v>
      </c>
      <c r="E15" s="318">
        <v>3</v>
      </c>
      <c r="F15" s="318">
        <v>4</v>
      </c>
      <c r="G15" s="318">
        <v>5</v>
      </c>
      <c r="H15" s="318">
        <v>6</v>
      </c>
      <c r="I15" s="318">
        <v>7</v>
      </c>
      <c r="J15" s="318">
        <v>8</v>
      </c>
      <c r="K15" s="318">
        <v>9</v>
      </c>
      <c r="L15" s="318">
        <v>10</v>
      </c>
      <c r="M15" s="318">
        <v>11</v>
      </c>
      <c r="N15" s="318">
        <v>12</v>
      </c>
      <c r="O15" s="318">
        <v>13</v>
      </c>
      <c r="P15" s="318">
        <v>14</v>
      </c>
      <c r="Q15" s="318">
        <v>15</v>
      </c>
      <c r="R15" s="318">
        <v>16</v>
      </c>
      <c r="S15" s="318">
        <v>17</v>
      </c>
      <c r="T15" s="318">
        <v>18</v>
      </c>
      <c r="U15" s="318">
        <v>19</v>
      </c>
      <c r="V15" s="318">
        <v>20</v>
      </c>
      <c r="W15" s="318">
        <v>21</v>
      </c>
      <c r="X15" s="318">
        <v>22</v>
      </c>
      <c r="Y15" s="318">
        <v>23</v>
      </c>
      <c r="Z15" s="318">
        <v>24</v>
      </c>
      <c r="AA15" s="318">
        <v>25</v>
      </c>
      <c r="AB15" s="318">
        <v>26</v>
      </c>
      <c r="AC15" s="318">
        <v>27</v>
      </c>
      <c r="AD15" s="318">
        <v>28</v>
      </c>
      <c r="AE15" s="318">
        <v>29</v>
      </c>
      <c r="AF15" s="318">
        <v>30</v>
      </c>
    </row>
    <row r="16" spans="1:32" ht="16.5" customHeight="1" thickBot="1" x14ac:dyDescent="0.4">
      <c r="A16" s="82" t="s">
        <v>429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</row>
    <row r="17" spans="1:32" s="218" customFormat="1" ht="16.5" customHeight="1" x14ac:dyDescent="0.35">
      <c r="B17" s="251" t="s">
        <v>321</v>
      </c>
      <c r="C17" s="252">
        <f>Energy!B9</f>
        <v>223653.31200000001</v>
      </c>
      <c r="D17" s="252">
        <f>Energy!C9</f>
        <v>222535.04544000002</v>
      </c>
      <c r="E17" s="252">
        <f>Energy!D9</f>
        <v>221422.37021280001</v>
      </c>
      <c r="F17" s="252">
        <f>Energy!E9</f>
        <v>220315.25836173602</v>
      </c>
      <c r="G17" s="252">
        <f>Energy!F9</f>
        <v>219213.68206992734</v>
      </c>
      <c r="H17" s="252">
        <f>Energy!G9</f>
        <v>218117.61365957771</v>
      </c>
      <c r="I17" s="252">
        <f>Energy!H9</f>
        <v>217027.02559127982</v>
      </c>
      <c r="J17" s="252">
        <f>Energy!I9</f>
        <v>215941.89046332339</v>
      </c>
      <c r="K17" s="252">
        <f>Energy!J9</f>
        <v>214862.18101100679</v>
      </c>
      <c r="L17" s="252">
        <f>Energy!K9</f>
        <v>213787.87010595176</v>
      </c>
      <c r="M17" s="252">
        <f>Energy!L9</f>
        <v>212718.93075542198</v>
      </c>
      <c r="N17" s="252">
        <f>Energy!M9</f>
        <v>211655.33610164491</v>
      </c>
      <c r="O17" s="252">
        <f>Energy!N9</f>
        <v>210597.05942113668</v>
      </c>
      <c r="P17" s="252">
        <f>Energy!O9</f>
        <v>209544.07412403103</v>
      </c>
      <c r="Q17" s="252">
        <f>Energy!P9</f>
        <v>208496.35375341083</v>
      </c>
      <c r="R17" s="252">
        <f>Energy!Q9</f>
        <v>207453.87198464377</v>
      </c>
      <c r="S17" s="252">
        <f>Energy!R9</f>
        <v>206416.60262472057</v>
      </c>
      <c r="T17" s="252">
        <f>Energy!S9</f>
        <v>205384.51961159697</v>
      </c>
      <c r="U17" s="252">
        <f>Energy!T9</f>
        <v>204357.59701353897</v>
      </c>
      <c r="V17" s="252">
        <f>Energy!U9</f>
        <v>203335.80902847127</v>
      </c>
      <c r="W17" s="252">
        <f>Energy!V9</f>
        <v>202319.12998332892</v>
      </c>
      <c r="X17" s="252">
        <f>Energy!W9</f>
        <v>201307.53433341227</v>
      </c>
      <c r="Y17" s="252">
        <f>Energy!X9</f>
        <v>200300.99666174524</v>
      </c>
      <c r="Z17" s="252">
        <f>Energy!Y9</f>
        <v>199299.49167843649</v>
      </c>
      <c r="AA17" s="252">
        <f>Energy!Z9</f>
        <v>198302.99422004432</v>
      </c>
      <c r="AB17" s="252">
        <f>Energy!AA9</f>
        <v>197311.47924894412</v>
      </c>
      <c r="AC17" s="252">
        <f>Energy!AB9</f>
        <v>196324.92185269939</v>
      </c>
      <c r="AD17" s="252">
        <f>Energy!AC9</f>
        <v>195343.29724343587</v>
      </c>
      <c r="AE17" s="252">
        <f>Energy!AD9</f>
        <v>194366.58075721873</v>
      </c>
      <c r="AF17" s="252">
        <f>Energy!AE9</f>
        <v>193394.74785343267</v>
      </c>
    </row>
    <row r="18" spans="1:32" s="218" customFormat="1" ht="16.5" customHeight="1" x14ac:dyDescent="0.35">
      <c r="B18" s="278" t="s">
        <v>430</v>
      </c>
      <c r="C18" s="270">
        <f>Inputs!$D$82</f>
        <v>30</v>
      </c>
      <c r="D18" s="270">
        <f>Inputs!$D$82</f>
        <v>30</v>
      </c>
      <c r="E18" s="270">
        <f>Inputs!$D$82</f>
        <v>30</v>
      </c>
      <c r="F18" s="270">
        <f>Inputs!$D$82</f>
        <v>30</v>
      </c>
      <c r="G18" s="270">
        <f>Inputs!$D$82</f>
        <v>30</v>
      </c>
      <c r="H18" s="270">
        <f>Inputs!$D$82</f>
        <v>30</v>
      </c>
      <c r="I18" s="270">
        <f>Inputs!$D$82</f>
        <v>30</v>
      </c>
      <c r="J18" s="270">
        <f>Inputs!$D$82</f>
        <v>30</v>
      </c>
      <c r="K18" s="270">
        <f>Inputs!$D$82</f>
        <v>30</v>
      </c>
      <c r="L18" s="270">
        <f>Inputs!$D$82</f>
        <v>30</v>
      </c>
      <c r="M18" s="270">
        <f>Inputs!$D$82</f>
        <v>30</v>
      </c>
      <c r="N18" s="270">
        <f>Inputs!$D$82</f>
        <v>30</v>
      </c>
      <c r="O18" s="270">
        <f>Inputs!$D$82</f>
        <v>30</v>
      </c>
      <c r="P18" s="270">
        <f>Inputs!$D$82</f>
        <v>30</v>
      </c>
      <c r="Q18" s="270">
        <f>Inputs!$D$82</f>
        <v>30</v>
      </c>
      <c r="R18" s="270">
        <f>Inputs!$D$82</f>
        <v>30</v>
      </c>
      <c r="S18" s="270">
        <f>Inputs!$D$82</f>
        <v>30</v>
      </c>
      <c r="T18" s="270">
        <f>Inputs!$D$82</f>
        <v>30</v>
      </c>
      <c r="U18" s="270">
        <f>Inputs!$D$82</f>
        <v>30</v>
      </c>
      <c r="V18" s="270">
        <f>Inputs!$D$82</f>
        <v>30</v>
      </c>
      <c r="W18" s="270">
        <f>Inputs!$D$82</f>
        <v>30</v>
      </c>
      <c r="X18" s="270">
        <f>Inputs!$D$82</f>
        <v>30</v>
      </c>
      <c r="Y18" s="270">
        <f>Inputs!$D$82</f>
        <v>30</v>
      </c>
      <c r="Z18" s="270">
        <f>Inputs!$D$82</f>
        <v>30</v>
      </c>
      <c r="AA18" s="270">
        <f>Inputs!$D$82</f>
        <v>30</v>
      </c>
      <c r="AB18" s="270">
        <f>Inputs!$D$82</f>
        <v>30</v>
      </c>
      <c r="AC18" s="270">
        <f>Inputs!$D$82</f>
        <v>30</v>
      </c>
      <c r="AD18" s="270">
        <f>Inputs!$D$82</f>
        <v>30</v>
      </c>
      <c r="AE18" s="270">
        <f>Inputs!$D$82</f>
        <v>30</v>
      </c>
      <c r="AF18" s="270">
        <f>Inputs!$D$82</f>
        <v>30</v>
      </c>
    </row>
    <row r="19" spans="1:32" s="218" customFormat="1" ht="16.5" customHeight="1" x14ac:dyDescent="0.35">
      <c r="B19" s="251" t="s">
        <v>431</v>
      </c>
      <c r="C19" s="271">
        <f>(1+Inputs!$D$84)^(Tax!C15-1)</f>
        <v>1</v>
      </c>
      <c r="D19" s="271">
        <f>(1+Inputs!$D$84)^(Tax!D15-1)</f>
        <v>1.02</v>
      </c>
      <c r="E19" s="271">
        <f>(1+Inputs!$D$84)^(Tax!E15-1)</f>
        <v>1.0404</v>
      </c>
      <c r="F19" s="271">
        <f>(1+Inputs!$D$84)^(Tax!F15-1)</f>
        <v>1.0612079999999999</v>
      </c>
      <c r="G19" s="271">
        <f>(1+Inputs!$D$84)^(Tax!G15-1)</f>
        <v>1.08243216</v>
      </c>
      <c r="H19" s="271">
        <f>(1+Inputs!$D$84)^(Tax!H15-1)</f>
        <v>1.1040808032</v>
      </c>
      <c r="I19" s="271">
        <f>(1+Inputs!$D$84)^(Tax!I15-1)</f>
        <v>1.1261624192640001</v>
      </c>
      <c r="J19" s="271">
        <f>(1+Inputs!$D$84)^(Tax!J15-1)</f>
        <v>1.1486856676492798</v>
      </c>
      <c r="K19" s="271">
        <f>(1+Inputs!$D$84)^(Tax!K15-1)</f>
        <v>1.1716593810022655</v>
      </c>
      <c r="L19" s="271">
        <f>(1+Inputs!$D$84)^(Tax!L15-1)</f>
        <v>1.1950925686223108</v>
      </c>
      <c r="M19" s="271">
        <f>(1+Inputs!$D$84)^(Tax!M15-1)</f>
        <v>1.2189944199947571</v>
      </c>
      <c r="N19" s="271">
        <f>(1+Inputs!$D$84)^(Tax!N15-1)</f>
        <v>1.243374308394652</v>
      </c>
      <c r="O19" s="271">
        <f>(1+Inputs!$D$84)^(Tax!O15-1)</f>
        <v>1.2682417945625453</v>
      </c>
      <c r="P19" s="271">
        <f>(1+Inputs!$D$84)^(Tax!P15-1)</f>
        <v>1.2936066304537961</v>
      </c>
      <c r="Q19" s="271">
        <f>(1+Inputs!$D$84)^(Tax!Q15-1)</f>
        <v>1.3194787630628722</v>
      </c>
      <c r="R19" s="271">
        <f>(1+Inputs!$D$84)^(Tax!R15-1)</f>
        <v>1.3458683383241292</v>
      </c>
      <c r="S19" s="271">
        <f>(1+Inputs!$D$84)^(Tax!S15-1)</f>
        <v>1.372785705090612</v>
      </c>
      <c r="T19" s="271">
        <f>(1+Inputs!$D$84)^(Tax!T15-1)</f>
        <v>1.4002414191924244</v>
      </c>
      <c r="U19" s="271">
        <f>(1+Inputs!$D$84)^(Tax!U15-1)</f>
        <v>1.4282462475762727</v>
      </c>
      <c r="V19" s="271">
        <f>(1+Inputs!$D$84)^(Tax!V15-1)</f>
        <v>1.4568111725277981</v>
      </c>
      <c r="W19" s="271">
        <f>(1+Inputs!$D$84)^(Tax!W15-1)</f>
        <v>1.4859473959783542</v>
      </c>
      <c r="X19" s="271">
        <f>(1+Inputs!$D$84)^(Tax!X15-1)</f>
        <v>1.5156663438979212</v>
      </c>
      <c r="Y19" s="271">
        <f>(1+Inputs!$D$84)^(Tax!Y15-1)</f>
        <v>1.5459796707758797</v>
      </c>
      <c r="Z19" s="271">
        <f>(1+Inputs!$D$84)^(Tax!Z15-1)</f>
        <v>1.576899264191397</v>
      </c>
      <c r="AA19" s="271">
        <f>(1+Inputs!$D$84)^(Tax!AA15-1)</f>
        <v>1.608437249475225</v>
      </c>
      <c r="AB19" s="271">
        <f>(1+Inputs!$D$84)^(Tax!AB15-1)</f>
        <v>1.6406059944647295</v>
      </c>
      <c r="AC19" s="271">
        <f>(1+Inputs!$D$84)^(Tax!AC15-1)</f>
        <v>1.6734181143540243</v>
      </c>
      <c r="AD19" s="271">
        <f>(1+Inputs!$D$84)^(Tax!AD15-1)</f>
        <v>1.7068864766411045</v>
      </c>
      <c r="AE19" s="271">
        <f>(1+Inputs!$D$84)^(Tax!AE15-1)</f>
        <v>1.7410242061739269</v>
      </c>
      <c r="AF19" s="271">
        <f>(1+Inputs!$D$84)^(Tax!AF15-1)</f>
        <v>1.7758446902974052</v>
      </c>
    </row>
    <row r="20" spans="1:32" s="218" customFormat="1" ht="16.5" customHeight="1" x14ac:dyDescent="0.35">
      <c r="B20" s="278" t="s">
        <v>432</v>
      </c>
      <c r="C20" s="270">
        <f t="shared" ref="C20:AF20" si="0">C18*C19</f>
        <v>30</v>
      </c>
      <c r="D20" s="270">
        <f t="shared" si="0"/>
        <v>30.6</v>
      </c>
      <c r="E20" s="270">
        <f t="shared" si="0"/>
        <v>31.212</v>
      </c>
      <c r="F20" s="270">
        <f t="shared" si="0"/>
        <v>31.836239999999997</v>
      </c>
      <c r="G20" s="270">
        <f t="shared" si="0"/>
        <v>32.4729648</v>
      </c>
      <c r="H20" s="270">
        <f t="shared" si="0"/>
        <v>33.122424096000003</v>
      </c>
      <c r="I20" s="270">
        <f t="shared" si="0"/>
        <v>33.784872577920005</v>
      </c>
      <c r="J20" s="270">
        <f t="shared" si="0"/>
        <v>34.460570029478397</v>
      </c>
      <c r="K20" s="270">
        <f t="shared" si="0"/>
        <v>35.149781430067968</v>
      </c>
      <c r="L20" s="270">
        <f t="shared" si="0"/>
        <v>35.852777058669325</v>
      </c>
      <c r="M20" s="270">
        <f t="shared" si="0"/>
        <v>36.569832599842712</v>
      </c>
      <c r="N20" s="270">
        <f t="shared" si="0"/>
        <v>37.301229251839558</v>
      </c>
      <c r="O20" s="270">
        <f t="shared" si="0"/>
        <v>38.047253836876358</v>
      </c>
      <c r="P20" s="270">
        <f t="shared" si="0"/>
        <v>38.808198913613886</v>
      </c>
      <c r="Q20" s="270">
        <f t="shared" si="0"/>
        <v>39.584362891886165</v>
      </c>
      <c r="R20" s="270">
        <f t="shared" si="0"/>
        <v>40.376050149723874</v>
      </c>
      <c r="S20" s="270">
        <f t="shared" si="0"/>
        <v>41.183571152718358</v>
      </c>
      <c r="T20" s="270">
        <f t="shared" si="0"/>
        <v>42.007242575772729</v>
      </c>
      <c r="U20" s="270">
        <f t="shared" si="0"/>
        <v>42.847387427288183</v>
      </c>
      <c r="V20" s="270">
        <f t="shared" si="0"/>
        <v>43.704335175833947</v>
      </c>
      <c r="W20" s="270">
        <f t="shared" si="0"/>
        <v>44.578421879350628</v>
      </c>
      <c r="X20" s="270">
        <f t="shared" si="0"/>
        <v>45.46999031693764</v>
      </c>
      <c r="Y20" s="270">
        <f t="shared" si="0"/>
        <v>46.379390123276394</v>
      </c>
      <c r="Z20" s="270">
        <f t="shared" si="0"/>
        <v>47.306977925741911</v>
      </c>
      <c r="AA20" s="270">
        <f t="shared" si="0"/>
        <v>48.253117484256748</v>
      </c>
      <c r="AB20" s="270">
        <f t="shared" si="0"/>
        <v>49.218179833941889</v>
      </c>
      <c r="AC20" s="270">
        <f t="shared" si="0"/>
        <v>50.202543430620729</v>
      </c>
      <c r="AD20" s="270">
        <f t="shared" si="0"/>
        <v>51.206594299233132</v>
      </c>
      <c r="AE20" s="270">
        <f t="shared" si="0"/>
        <v>52.230726185217812</v>
      </c>
      <c r="AF20" s="270">
        <f t="shared" si="0"/>
        <v>53.275340708922158</v>
      </c>
    </row>
    <row r="21" spans="1:32" s="218" customFormat="1" ht="16.5" customHeight="1" x14ac:dyDescent="0.35">
      <c r="B21" s="251" t="s">
        <v>433</v>
      </c>
      <c r="C21" s="262" t="str">
        <f t="shared" ref="C21:AF21" si="1">IF(C15&lt;=10,"Active","Expired")</f>
        <v>Active</v>
      </c>
      <c r="D21" s="262" t="str">
        <f t="shared" si="1"/>
        <v>Active</v>
      </c>
      <c r="E21" s="262" t="str">
        <f t="shared" si="1"/>
        <v>Active</v>
      </c>
      <c r="F21" s="262" t="str">
        <f t="shared" si="1"/>
        <v>Active</v>
      </c>
      <c r="G21" s="262" t="str">
        <f t="shared" si="1"/>
        <v>Active</v>
      </c>
      <c r="H21" s="262" t="str">
        <f t="shared" si="1"/>
        <v>Active</v>
      </c>
      <c r="I21" s="262" t="str">
        <f t="shared" si="1"/>
        <v>Active</v>
      </c>
      <c r="J21" s="262" t="str">
        <f t="shared" si="1"/>
        <v>Active</v>
      </c>
      <c r="K21" s="262" t="str">
        <f t="shared" si="1"/>
        <v>Active</v>
      </c>
      <c r="L21" s="262" t="str">
        <f t="shared" si="1"/>
        <v>Active</v>
      </c>
      <c r="M21" s="262" t="str">
        <f t="shared" si="1"/>
        <v>Expired</v>
      </c>
      <c r="N21" s="262" t="str">
        <f t="shared" si="1"/>
        <v>Expired</v>
      </c>
      <c r="O21" s="262" t="str">
        <f t="shared" si="1"/>
        <v>Expired</v>
      </c>
      <c r="P21" s="262" t="str">
        <f t="shared" si="1"/>
        <v>Expired</v>
      </c>
      <c r="Q21" s="262" t="str">
        <f t="shared" si="1"/>
        <v>Expired</v>
      </c>
      <c r="R21" s="262" t="str">
        <f t="shared" si="1"/>
        <v>Expired</v>
      </c>
      <c r="S21" s="262" t="str">
        <f t="shared" si="1"/>
        <v>Expired</v>
      </c>
      <c r="T21" s="262" t="str">
        <f t="shared" si="1"/>
        <v>Expired</v>
      </c>
      <c r="U21" s="262" t="str">
        <f t="shared" si="1"/>
        <v>Expired</v>
      </c>
      <c r="V21" s="262" t="str">
        <f t="shared" si="1"/>
        <v>Expired</v>
      </c>
      <c r="W21" s="262" t="str">
        <f t="shared" si="1"/>
        <v>Expired</v>
      </c>
      <c r="X21" s="262" t="str">
        <f t="shared" si="1"/>
        <v>Expired</v>
      </c>
      <c r="Y21" s="262" t="str">
        <f t="shared" si="1"/>
        <v>Expired</v>
      </c>
      <c r="Z21" s="262" t="str">
        <f t="shared" si="1"/>
        <v>Expired</v>
      </c>
      <c r="AA21" s="262" t="str">
        <f t="shared" si="1"/>
        <v>Expired</v>
      </c>
      <c r="AB21" s="262" t="str">
        <f t="shared" si="1"/>
        <v>Expired</v>
      </c>
      <c r="AC21" s="262" t="str">
        <f t="shared" si="1"/>
        <v>Expired</v>
      </c>
      <c r="AD21" s="262" t="str">
        <f t="shared" si="1"/>
        <v>Expired</v>
      </c>
      <c r="AE21" s="262" t="str">
        <f t="shared" si="1"/>
        <v>Expired</v>
      </c>
      <c r="AF21" s="262" t="str">
        <f t="shared" si="1"/>
        <v>Expired</v>
      </c>
    </row>
    <row r="22" spans="1:32" s="218" customFormat="1" ht="16.5" customHeight="1" x14ac:dyDescent="0.35">
      <c r="B22" s="278" t="s">
        <v>434</v>
      </c>
      <c r="C22" s="279">
        <f t="shared" ref="C22:AF22" si="2">IF(C15&lt;=10,C17*C20,0)</f>
        <v>6709599.3600000003</v>
      </c>
      <c r="D22" s="279">
        <f t="shared" si="2"/>
        <v>6809572.3904640004</v>
      </c>
      <c r="E22" s="279">
        <f t="shared" si="2"/>
        <v>6911035.0190819139</v>
      </c>
      <c r="F22" s="279">
        <f t="shared" si="2"/>
        <v>7014009.4408662338</v>
      </c>
      <c r="G22" s="279">
        <f t="shared" si="2"/>
        <v>7118518.1815351415</v>
      </c>
      <c r="H22" s="279">
        <f t="shared" si="2"/>
        <v>7224584.1024400163</v>
      </c>
      <c r="I22" s="279">
        <f t="shared" si="2"/>
        <v>7332230.4055663729</v>
      </c>
      <c r="J22" s="279">
        <f t="shared" si="2"/>
        <v>7441480.6386093087</v>
      </c>
      <c r="K22" s="279">
        <f t="shared" si="2"/>
        <v>7552358.7001245888</v>
      </c>
      <c r="L22" s="279">
        <f t="shared" si="2"/>
        <v>7664888.8447564449</v>
      </c>
      <c r="M22" s="279">
        <f t="shared" si="2"/>
        <v>0</v>
      </c>
      <c r="N22" s="279">
        <f t="shared" si="2"/>
        <v>0</v>
      </c>
      <c r="O22" s="279">
        <f t="shared" si="2"/>
        <v>0</v>
      </c>
      <c r="P22" s="279">
        <f t="shared" si="2"/>
        <v>0</v>
      </c>
      <c r="Q22" s="279">
        <f t="shared" si="2"/>
        <v>0</v>
      </c>
      <c r="R22" s="279">
        <f t="shared" si="2"/>
        <v>0</v>
      </c>
      <c r="S22" s="279">
        <f t="shared" si="2"/>
        <v>0</v>
      </c>
      <c r="T22" s="279">
        <f t="shared" si="2"/>
        <v>0</v>
      </c>
      <c r="U22" s="279">
        <f t="shared" si="2"/>
        <v>0</v>
      </c>
      <c r="V22" s="279">
        <f t="shared" si="2"/>
        <v>0</v>
      </c>
      <c r="W22" s="279">
        <f t="shared" si="2"/>
        <v>0</v>
      </c>
      <c r="X22" s="279">
        <f t="shared" si="2"/>
        <v>0</v>
      </c>
      <c r="Y22" s="279">
        <f t="shared" si="2"/>
        <v>0</v>
      </c>
      <c r="Z22" s="279">
        <f t="shared" si="2"/>
        <v>0</v>
      </c>
      <c r="AA22" s="279">
        <f t="shared" si="2"/>
        <v>0</v>
      </c>
      <c r="AB22" s="279">
        <f t="shared" si="2"/>
        <v>0</v>
      </c>
      <c r="AC22" s="279">
        <f t="shared" si="2"/>
        <v>0</v>
      </c>
      <c r="AD22" s="279">
        <f t="shared" si="2"/>
        <v>0</v>
      </c>
      <c r="AE22" s="279">
        <f t="shared" si="2"/>
        <v>0</v>
      </c>
      <c r="AF22" s="279">
        <f t="shared" si="2"/>
        <v>0</v>
      </c>
    </row>
    <row r="23" spans="1:32" s="218" customFormat="1" ht="16.5" customHeight="1" x14ac:dyDescent="0.35">
      <c r="B23" s="251" t="s">
        <v>435</v>
      </c>
      <c r="C23" s="331">
        <f>Inputs!$D$83</f>
        <v>0.92500000000000004</v>
      </c>
      <c r="D23" s="331">
        <f>Inputs!$D$83</f>
        <v>0.92500000000000004</v>
      </c>
      <c r="E23" s="331">
        <f>Inputs!$D$83</f>
        <v>0.92500000000000004</v>
      </c>
      <c r="F23" s="331">
        <f>Inputs!$D$83</f>
        <v>0.92500000000000004</v>
      </c>
      <c r="G23" s="331">
        <f>Inputs!$D$83</f>
        <v>0.92500000000000004</v>
      </c>
      <c r="H23" s="331">
        <f>Inputs!$D$83</f>
        <v>0.92500000000000004</v>
      </c>
      <c r="I23" s="331">
        <f>Inputs!$D$83</f>
        <v>0.92500000000000004</v>
      </c>
      <c r="J23" s="331">
        <f>Inputs!$D$83</f>
        <v>0.92500000000000004</v>
      </c>
      <c r="K23" s="331">
        <f>Inputs!$D$83</f>
        <v>0.92500000000000004</v>
      </c>
      <c r="L23" s="331">
        <f>Inputs!$D$83</f>
        <v>0.92500000000000004</v>
      </c>
      <c r="M23" s="331">
        <f>Inputs!$D$83</f>
        <v>0.92500000000000004</v>
      </c>
      <c r="N23" s="331">
        <f>Inputs!$D$83</f>
        <v>0.92500000000000004</v>
      </c>
      <c r="O23" s="331">
        <f>Inputs!$D$83</f>
        <v>0.92500000000000004</v>
      </c>
      <c r="P23" s="331">
        <f>Inputs!$D$83</f>
        <v>0.92500000000000004</v>
      </c>
      <c r="Q23" s="331">
        <f>Inputs!$D$83</f>
        <v>0.92500000000000004</v>
      </c>
      <c r="R23" s="331">
        <f>Inputs!$D$83</f>
        <v>0.92500000000000004</v>
      </c>
      <c r="S23" s="331">
        <f>Inputs!$D$83</f>
        <v>0.92500000000000004</v>
      </c>
      <c r="T23" s="331">
        <f>Inputs!$D$83</f>
        <v>0.92500000000000004</v>
      </c>
      <c r="U23" s="331">
        <f>Inputs!$D$83</f>
        <v>0.92500000000000004</v>
      </c>
      <c r="V23" s="331">
        <f>Inputs!$D$83</f>
        <v>0.92500000000000004</v>
      </c>
      <c r="W23" s="331">
        <f>Inputs!$D$83</f>
        <v>0.92500000000000004</v>
      </c>
      <c r="X23" s="331">
        <f>Inputs!$D$83</f>
        <v>0.92500000000000004</v>
      </c>
      <c r="Y23" s="331">
        <f>Inputs!$D$83</f>
        <v>0.92500000000000004</v>
      </c>
      <c r="Z23" s="331">
        <f>Inputs!$D$83</f>
        <v>0.92500000000000004</v>
      </c>
      <c r="AA23" s="331">
        <f>Inputs!$D$83</f>
        <v>0.92500000000000004</v>
      </c>
      <c r="AB23" s="331">
        <f>Inputs!$D$83</f>
        <v>0.92500000000000004</v>
      </c>
      <c r="AC23" s="331">
        <f>Inputs!$D$83</f>
        <v>0.92500000000000004</v>
      </c>
      <c r="AD23" s="331">
        <f>Inputs!$D$83</f>
        <v>0.92500000000000004</v>
      </c>
      <c r="AE23" s="331">
        <f>Inputs!$D$83</f>
        <v>0.92500000000000004</v>
      </c>
      <c r="AF23" s="331">
        <f>Inputs!$D$83</f>
        <v>0.92500000000000004</v>
      </c>
    </row>
    <row r="24" spans="1:32" s="218" customFormat="1" ht="18" customHeight="1" x14ac:dyDescent="0.35">
      <c r="B24" s="259" t="s">
        <v>436</v>
      </c>
      <c r="C24" s="308">
        <f t="shared" ref="C24:AF24" si="3">C22*C23</f>
        <v>6206379.4080000008</v>
      </c>
      <c r="D24" s="308">
        <f t="shared" si="3"/>
        <v>6298854.4611792006</v>
      </c>
      <c r="E24" s="308">
        <f t="shared" si="3"/>
        <v>6392707.392650771</v>
      </c>
      <c r="F24" s="308">
        <f t="shared" si="3"/>
        <v>6487958.7328012669</v>
      </c>
      <c r="G24" s="308">
        <f t="shared" si="3"/>
        <v>6584629.3179200059</v>
      </c>
      <c r="H24" s="308">
        <f t="shared" si="3"/>
        <v>6682740.2947570151</v>
      </c>
      <c r="I24" s="308">
        <f t="shared" si="3"/>
        <v>6782313.1251488952</v>
      </c>
      <c r="J24" s="308">
        <f t="shared" si="3"/>
        <v>6883369.5907136109</v>
      </c>
      <c r="K24" s="308">
        <f t="shared" si="3"/>
        <v>6985931.797615245</v>
      </c>
      <c r="L24" s="308">
        <f t="shared" si="3"/>
        <v>7090022.1813997123</v>
      </c>
      <c r="M24" s="308">
        <f t="shared" si="3"/>
        <v>0</v>
      </c>
      <c r="N24" s="308">
        <f t="shared" si="3"/>
        <v>0</v>
      </c>
      <c r="O24" s="308">
        <f t="shared" si="3"/>
        <v>0</v>
      </c>
      <c r="P24" s="308">
        <f t="shared" si="3"/>
        <v>0</v>
      </c>
      <c r="Q24" s="308">
        <f t="shared" si="3"/>
        <v>0</v>
      </c>
      <c r="R24" s="308">
        <f t="shared" si="3"/>
        <v>0</v>
      </c>
      <c r="S24" s="308">
        <f t="shared" si="3"/>
        <v>0</v>
      </c>
      <c r="T24" s="308">
        <f t="shared" si="3"/>
        <v>0</v>
      </c>
      <c r="U24" s="308">
        <f t="shared" si="3"/>
        <v>0</v>
      </c>
      <c r="V24" s="308">
        <f t="shared" si="3"/>
        <v>0</v>
      </c>
      <c r="W24" s="308">
        <f t="shared" si="3"/>
        <v>0</v>
      </c>
      <c r="X24" s="308">
        <f t="shared" si="3"/>
        <v>0</v>
      </c>
      <c r="Y24" s="308">
        <f t="shared" si="3"/>
        <v>0</v>
      </c>
      <c r="Z24" s="308">
        <f t="shared" si="3"/>
        <v>0</v>
      </c>
      <c r="AA24" s="308">
        <f t="shared" si="3"/>
        <v>0</v>
      </c>
      <c r="AB24" s="308">
        <f t="shared" si="3"/>
        <v>0</v>
      </c>
      <c r="AC24" s="308">
        <f t="shared" si="3"/>
        <v>0</v>
      </c>
      <c r="AD24" s="308">
        <f t="shared" si="3"/>
        <v>0</v>
      </c>
      <c r="AE24" s="308">
        <f t="shared" si="3"/>
        <v>0</v>
      </c>
      <c r="AF24" s="308">
        <f t="shared" si="3"/>
        <v>0</v>
      </c>
    </row>
    <row r="25" spans="1:32" ht="16.5" customHeight="1" x14ac:dyDescent="0.35">
      <c r="B25" s="142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</row>
    <row r="26" spans="1:32" ht="16.5" customHeight="1" x14ac:dyDescent="0.35">
      <c r="B26" s="142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</row>
    <row r="27" spans="1:32" ht="16.5" customHeight="1" thickBot="1" x14ac:dyDescent="0.4">
      <c r="A27" s="82" t="s">
        <v>437</v>
      </c>
      <c r="B27" s="1"/>
      <c r="C27" s="1"/>
      <c r="D27" s="1"/>
      <c r="E27" s="1"/>
      <c r="F27" s="1"/>
      <c r="G27" s="1"/>
      <c r="H27" s="1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</row>
    <row r="28" spans="1:32" ht="18" customHeight="1" x14ac:dyDescent="0.35">
      <c r="B28" s="335" t="s">
        <v>428</v>
      </c>
      <c r="C28" s="196">
        <f t="shared" ref="C28:H28" si="4">$C$12</f>
        <v>139485000</v>
      </c>
      <c r="D28" s="196">
        <f t="shared" si="4"/>
        <v>139485000</v>
      </c>
      <c r="E28" s="196">
        <f t="shared" si="4"/>
        <v>139485000</v>
      </c>
      <c r="F28" s="196">
        <f t="shared" si="4"/>
        <v>139485000</v>
      </c>
      <c r="G28" s="196">
        <f t="shared" si="4"/>
        <v>139485000</v>
      </c>
      <c r="H28" s="197">
        <f t="shared" si="4"/>
        <v>139485000</v>
      </c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</row>
    <row r="29" spans="1:32" ht="16.5" customHeight="1" x14ac:dyDescent="0.35">
      <c r="B29" s="332" t="s">
        <v>438</v>
      </c>
      <c r="C29" s="113">
        <f>Inputs!$D$91</f>
        <v>0.2</v>
      </c>
      <c r="D29" s="113">
        <f>Inputs!D92</f>
        <v>0.32</v>
      </c>
      <c r="E29" s="113">
        <f>Inputs!D93</f>
        <v>0.192</v>
      </c>
      <c r="F29" s="113">
        <f>Inputs!D94</f>
        <v>0.1152</v>
      </c>
      <c r="G29" s="113">
        <f>Inputs!D95</f>
        <v>0.1152</v>
      </c>
      <c r="H29" s="184">
        <f>Inputs!D96</f>
        <v>5.7599999999999998E-2</v>
      </c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6.5" customHeight="1" x14ac:dyDescent="0.35">
      <c r="B30" s="333" t="s">
        <v>439</v>
      </c>
      <c r="C30" s="194">
        <f t="shared" ref="C30:H30" si="5">C28*C29</f>
        <v>27897000</v>
      </c>
      <c r="D30" s="194">
        <f t="shared" si="5"/>
        <v>44635200</v>
      </c>
      <c r="E30" s="194">
        <f t="shared" si="5"/>
        <v>26781120</v>
      </c>
      <c r="F30" s="194">
        <f t="shared" si="5"/>
        <v>16068672</v>
      </c>
      <c r="G30" s="194">
        <f t="shared" si="5"/>
        <v>16068672</v>
      </c>
      <c r="H30" s="195">
        <f t="shared" si="5"/>
        <v>8034336</v>
      </c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</row>
    <row r="31" spans="1:32" ht="16.5" customHeight="1" x14ac:dyDescent="0.35">
      <c r="B31" s="332" t="s">
        <v>440</v>
      </c>
      <c r="C31" s="116">
        <f>C30</f>
        <v>27897000</v>
      </c>
      <c r="D31" s="116">
        <f>C31+D30</f>
        <v>72532200</v>
      </c>
      <c r="E31" s="116">
        <f>D31+E30</f>
        <v>99313320</v>
      </c>
      <c r="F31" s="116">
        <f>E31+F30</f>
        <v>115381992</v>
      </c>
      <c r="G31" s="116">
        <f>F31+G30</f>
        <v>131450664</v>
      </c>
      <c r="H31" s="185">
        <f>G31+H30</f>
        <v>139485000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6.5" customHeight="1" x14ac:dyDescent="0.35">
      <c r="B32" s="333" t="s">
        <v>441</v>
      </c>
      <c r="C32" s="194">
        <f>C30*Inputs!$D$89</f>
        <v>5858370</v>
      </c>
      <c r="D32" s="194">
        <f>D30*Inputs!$D$89</f>
        <v>9373392</v>
      </c>
      <c r="E32" s="194">
        <f>E30*Inputs!$D$89</f>
        <v>5624035.2000000002</v>
      </c>
      <c r="F32" s="194">
        <f>F30*Inputs!$D$89</f>
        <v>3374421.1199999996</v>
      </c>
      <c r="G32" s="194">
        <f>G30*Inputs!$D$89</f>
        <v>3374421.1199999996</v>
      </c>
      <c r="H32" s="195">
        <f>H30*Inputs!$D$89</f>
        <v>1687210.5599999998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</row>
    <row r="33" spans="1:32" ht="16.5" customHeight="1" x14ac:dyDescent="0.35">
      <c r="B33" s="334" t="s">
        <v>442</v>
      </c>
      <c r="C33" s="186">
        <f t="shared" ref="C33:H33" si="6">C31-C28</f>
        <v>-111588000</v>
      </c>
      <c r="D33" s="186">
        <f t="shared" si="6"/>
        <v>-66952800</v>
      </c>
      <c r="E33" s="186">
        <f t="shared" si="6"/>
        <v>-40171680</v>
      </c>
      <c r="F33" s="186">
        <f t="shared" si="6"/>
        <v>-24103008</v>
      </c>
      <c r="G33" s="186">
        <f t="shared" si="6"/>
        <v>-8034336</v>
      </c>
      <c r="H33" s="187">
        <f t="shared" si="6"/>
        <v>0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</row>
    <row r="34" spans="1:32" ht="16.5" customHeight="1" x14ac:dyDescent="0.35">
      <c r="B34" s="142"/>
      <c r="C34" s="155"/>
      <c r="D34" s="155"/>
      <c r="E34" s="155"/>
      <c r="F34" s="155"/>
      <c r="G34" s="155"/>
      <c r="H34" s="155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</row>
    <row r="35" spans="1:32" ht="16.5" customHeight="1" x14ac:dyDescent="0.35"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</row>
    <row r="36" spans="1:32" ht="16.5" customHeight="1" thickBot="1" x14ac:dyDescent="0.4">
      <c r="A36" s="82" t="s">
        <v>443</v>
      </c>
      <c r="B36" s="1"/>
      <c r="C36" s="1"/>
      <c r="D36" s="1"/>
      <c r="E36" s="1"/>
      <c r="F36" s="1"/>
      <c r="G36" s="1"/>
      <c r="H36" s="1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</row>
    <row r="37" spans="1:32" ht="16.5" customHeight="1" x14ac:dyDescent="0.35">
      <c r="B37" s="335" t="s">
        <v>444</v>
      </c>
      <c r="C37" s="196">
        <f t="shared" ref="C37:H37" si="7">$C$6</f>
        <v>164100000</v>
      </c>
      <c r="D37" s="196">
        <f t="shared" si="7"/>
        <v>164100000</v>
      </c>
      <c r="E37" s="196">
        <f t="shared" si="7"/>
        <v>164100000</v>
      </c>
      <c r="F37" s="196">
        <f t="shared" si="7"/>
        <v>164100000</v>
      </c>
      <c r="G37" s="196">
        <f t="shared" si="7"/>
        <v>164100000</v>
      </c>
      <c r="H37" s="197">
        <f t="shared" si="7"/>
        <v>164100000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</row>
    <row r="38" spans="1:32" ht="16.5" customHeight="1" x14ac:dyDescent="0.35">
      <c r="B38" s="332" t="s">
        <v>438</v>
      </c>
      <c r="C38" s="113">
        <f>Inputs!$D$91</f>
        <v>0.2</v>
      </c>
      <c r="D38" s="113">
        <f>Inputs!$D$92</f>
        <v>0.32</v>
      </c>
      <c r="E38" s="113">
        <f>Inputs!$D$93</f>
        <v>0.192</v>
      </c>
      <c r="F38" s="113">
        <f>Inputs!$D$94</f>
        <v>0.1152</v>
      </c>
      <c r="G38" s="113">
        <f>Inputs!$D$95</f>
        <v>0.1152</v>
      </c>
      <c r="H38" s="184">
        <f>Inputs!$D$96</f>
        <v>5.7599999999999998E-2</v>
      </c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</row>
    <row r="39" spans="1:32" ht="16.5" customHeight="1" x14ac:dyDescent="0.35">
      <c r="B39" s="333" t="s">
        <v>445</v>
      </c>
      <c r="C39" s="194">
        <f t="shared" ref="C39:H39" si="8">C37*C38</f>
        <v>32820000</v>
      </c>
      <c r="D39" s="194">
        <f t="shared" si="8"/>
        <v>52512000</v>
      </c>
      <c r="E39" s="194">
        <f t="shared" si="8"/>
        <v>31507200</v>
      </c>
      <c r="F39" s="194">
        <f t="shared" si="8"/>
        <v>18904320</v>
      </c>
      <c r="G39" s="194">
        <f t="shared" si="8"/>
        <v>18904320</v>
      </c>
      <c r="H39" s="195">
        <f t="shared" si="8"/>
        <v>9452160</v>
      </c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</row>
    <row r="40" spans="1:32" ht="16.5" customHeight="1" x14ac:dyDescent="0.35">
      <c r="B40" s="332" t="s">
        <v>446</v>
      </c>
      <c r="C40" s="116">
        <f>C39</f>
        <v>32820000</v>
      </c>
      <c r="D40" s="116">
        <f>C40+D39</f>
        <v>85332000</v>
      </c>
      <c r="E40" s="116">
        <f>D40+E39</f>
        <v>116839200</v>
      </c>
      <c r="F40" s="116">
        <f>E40+F39</f>
        <v>135743520</v>
      </c>
      <c r="G40" s="116">
        <f>F40+G39</f>
        <v>154647840</v>
      </c>
      <c r="H40" s="185">
        <f>G40+H39</f>
        <v>164100000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</row>
    <row r="41" spans="1:32" ht="16.5" customHeight="1" x14ac:dyDescent="0.35">
      <c r="B41" s="333" t="s">
        <v>447</v>
      </c>
      <c r="C41" s="194">
        <f>C39*Inputs!$D$89</f>
        <v>6892200</v>
      </c>
      <c r="D41" s="194">
        <f>D39*Inputs!$D$89</f>
        <v>11027520</v>
      </c>
      <c r="E41" s="194">
        <f>E39*Inputs!$D$89</f>
        <v>6616512</v>
      </c>
      <c r="F41" s="194">
        <f>F39*Inputs!$D$89</f>
        <v>3969907.1999999997</v>
      </c>
      <c r="G41" s="194">
        <f>G39*Inputs!$D$89</f>
        <v>3969907.1999999997</v>
      </c>
      <c r="H41" s="195">
        <f>H39*Inputs!$D$89</f>
        <v>1984953.5999999999</v>
      </c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</row>
    <row r="42" spans="1:32" ht="16.5" customHeight="1" x14ac:dyDescent="0.35">
      <c r="B42" s="334" t="s">
        <v>442</v>
      </c>
      <c r="C42" s="186">
        <f t="shared" ref="C42:H42" si="9">C40-C37</f>
        <v>-131280000</v>
      </c>
      <c r="D42" s="186">
        <f t="shared" si="9"/>
        <v>-78768000</v>
      </c>
      <c r="E42" s="186">
        <f t="shared" si="9"/>
        <v>-47260800</v>
      </c>
      <c r="F42" s="186">
        <f t="shared" si="9"/>
        <v>-28356480</v>
      </c>
      <c r="G42" s="186">
        <f t="shared" si="9"/>
        <v>-9452160</v>
      </c>
      <c r="H42" s="187">
        <f t="shared" si="9"/>
        <v>0</v>
      </c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</row>
    <row r="43" spans="1:32" ht="16.5" customHeight="1" x14ac:dyDescent="0.35">
      <c r="B43" s="142"/>
      <c r="C43" s="155"/>
      <c r="D43" s="155"/>
      <c r="E43" s="155"/>
      <c r="F43" s="155"/>
      <c r="G43" s="155"/>
      <c r="H43" s="155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</row>
    <row r="44" spans="1:32" ht="16.5" customHeight="1" x14ac:dyDescent="0.35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ht="16.5" customHeight="1" thickBot="1" x14ac:dyDescent="0.4">
      <c r="A45" s="82" t="s">
        <v>448</v>
      </c>
      <c r="B45" s="1"/>
      <c r="C45" s="1"/>
      <c r="D45" s="1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</row>
    <row r="46" spans="1:32" ht="16.5" customHeight="1" x14ac:dyDescent="0.35">
      <c r="B46" s="191" t="s">
        <v>281</v>
      </c>
      <c r="C46" s="192" t="s">
        <v>282</v>
      </c>
      <c r="D46" s="192" t="s">
        <v>449</v>
      </c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</row>
    <row r="47" spans="1:32" ht="16.5" customHeight="1" x14ac:dyDescent="0.35">
      <c r="B47" s="336" t="s">
        <v>450</v>
      </c>
      <c r="C47" s="198">
        <f>C10</f>
        <v>45537750</v>
      </c>
      <c r="D47" s="199">
        <f>NPV(Inputs!$D$100,Tax!C24:AF24)</f>
        <v>46251705.177580975</v>
      </c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6.5" customHeight="1" x14ac:dyDescent="0.35">
      <c r="B48" s="332" t="s">
        <v>451</v>
      </c>
      <c r="C48" s="116">
        <f>C12</f>
        <v>139485000</v>
      </c>
      <c r="D48" s="116">
        <f>C6</f>
        <v>164100000</v>
      </c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</row>
    <row r="49" spans="1:32" ht="18" customHeight="1" x14ac:dyDescent="0.35">
      <c r="B49" s="337" t="s">
        <v>452</v>
      </c>
      <c r="C49" s="121">
        <f>NPV(Inputs!$D$100,Tax!C32:H32)</f>
        <v>24357588.705733374</v>
      </c>
      <c r="D49" s="200">
        <f>NPV(Inputs!$D$100,Tax!C41:H41)</f>
        <v>28655986.7126275</v>
      </c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</row>
    <row r="50" spans="1:32" ht="18" customHeight="1" x14ac:dyDescent="0.35">
      <c r="B50" s="343" t="s">
        <v>587</v>
      </c>
      <c r="C50" s="344">
        <f>0</f>
        <v>0</v>
      </c>
      <c r="D50" s="345">
        <f>C47</f>
        <v>45537750</v>
      </c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</row>
    <row r="51" spans="1:32" ht="16.5" customHeight="1" x14ac:dyDescent="0.35">
      <c r="B51" s="346" t="s">
        <v>453</v>
      </c>
      <c r="C51" s="347">
        <f>C47+C49</f>
        <v>69895338.705733374</v>
      </c>
      <c r="D51" s="348">
        <f>D47+D49-D50</f>
        <v>29369941.890208483</v>
      </c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</row>
    <row r="52" spans="1:32" ht="16.5" customHeight="1" x14ac:dyDescent="0.35">
      <c r="B52" s="188"/>
      <c r="C52" s="189"/>
      <c r="D52" s="154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</row>
    <row r="53" spans="1:32" ht="18" customHeight="1" x14ac:dyDescent="0.35">
      <c r="B53" s="335" t="s">
        <v>454</v>
      </c>
      <c r="C53" s="339">
        <f>C51-D51</f>
        <v>40525396.815524891</v>
      </c>
      <c r="D53" s="143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</row>
    <row r="54" spans="1:32" ht="16.5" customHeight="1" x14ac:dyDescent="0.35">
      <c r="B54" s="338" t="s">
        <v>455</v>
      </c>
      <c r="C54" s="190" t="str">
        <f>IF(C51&gt;D51,"ITC", "PTC")</f>
        <v>ITC</v>
      </c>
      <c r="D54" s="156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</row>
    <row r="55" spans="1:32" s="180" customFormat="1" ht="16.5" customHeight="1" x14ac:dyDescent="0.35">
      <c r="B55" s="349" t="s">
        <v>588</v>
      </c>
      <c r="D55" s="181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</row>
    <row r="56" spans="1:32" s="180" customFormat="1" ht="16.5" customHeight="1" x14ac:dyDescent="0.35">
      <c r="B56" s="183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</row>
    <row r="57" spans="1:32" ht="16.5" customHeight="1" thickBot="1" x14ac:dyDescent="0.4">
      <c r="A57" s="82" t="s">
        <v>456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</row>
    <row r="58" spans="1:32" ht="16.5" customHeight="1" x14ac:dyDescent="0.35">
      <c r="B58" s="251" t="s">
        <v>404</v>
      </c>
      <c r="C58" s="116">
        <f>Revenue!C50</f>
        <v>17720253.640000001</v>
      </c>
      <c r="D58" s="116">
        <f>Revenue!D50</f>
        <v>17816790.7243305</v>
      </c>
      <c r="E58" s="116">
        <f>Revenue!E50</f>
        <v>17915031.744148258</v>
      </c>
      <c r="F58" s="116">
        <f>Revenue!F50</f>
        <v>18015004.530321814</v>
      </c>
      <c r="G58" s="116">
        <f>Revenue!G50</f>
        <v>18116737.404669497</v>
      </c>
      <c r="H58" s="116">
        <f>Revenue!H50</f>
        <v>18220259.19115442</v>
      </c>
      <c r="I58" s="116">
        <f>Revenue!I50</f>
        <v>18325599.227272239</v>
      </c>
      <c r="J58" s="116">
        <f>Revenue!J50</f>
        <v>18432787.375635799</v>
      </c>
      <c r="K58" s="116">
        <f>Revenue!K50</f>
        <v>18541854.035761416</v>
      </c>
      <c r="L58" s="116">
        <f>Revenue!L50</f>
        <v>18652830.156061094</v>
      </c>
      <c r="M58" s="116">
        <f>Revenue!M50</f>
        <v>18765747.246045575</v>
      </c>
      <c r="N58" s="116">
        <f>Revenue!N50</f>
        <v>18880637.388742764</v>
      </c>
      <c r="O58" s="116">
        <f>Revenue!O50</f>
        <v>18997533.253336441</v>
      </c>
      <c r="P58" s="116">
        <f>Revenue!P50</f>
        <v>19116468.108030133</v>
      </c>
      <c r="Q58" s="116">
        <f>Revenue!Q50</f>
        <v>19237475.833141141</v>
      </c>
      <c r="R58" s="116">
        <f>Revenue!R50</f>
        <v>19360590.934429813</v>
      </c>
      <c r="S58" s="116">
        <f>Revenue!S50</f>
        <v>19485848.556669276</v>
      </c>
      <c r="T58" s="116">
        <f>Revenue!T50</f>
        <v>19613284.497460742</v>
      </c>
      <c r="U58" s="116">
        <f>Revenue!U50</f>
        <v>19742935.221300032</v>
      </c>
      <c r="V58" s="116">
        <f>Revenue!V50</f>
        <v>19874837.873900536</v>
      </c>
      <c r="W58" s="116">
        <f>Revenue!W50</f>
        <v>14746810.481365051</v>
      </c>
      <c r="X58" s="116">
        <f>Revenue!X50</f>
        <v>14786825.601588773</v>
      </c>
      <c r="Y58" s="116">
        <f>Revenue!Y50</f>
        <v>14829082.907555871</v>
      </c>
      <c r="Z58" s="116">
        <f>Revenue!Z50</f>
        <v>14873620.036164388</v>
      </c>
      <c r="AA58" s="116">
        <f>Revenue!AA50</f>
        <v>14920475.378206762</v>
      </c>
      <c r="AB58" s="116">
        <f>Revenue!AB50</f>
        <v>14969688.094293939</v>
      </c>
      <c r="AC58" s="116">
        <f>Revenue!AC50</f>
        <v>15021298.131077224</v>
      </c>
      <c r="AD58" s="116">
        <f>Revenue!AD50</f>
        <v>15075346.237774234</v>
      </c>
      <c r="AE58" s="116">
        <f>Revenue!AE50</f>
        <v>15131873.98300539</v>
      </c>
      <c r="AF58" s="116">
        <f>Revenue!AF50</f>
        <v>15190923.771947499</v>
      </c>
    </row>
    <row r="59" spans="1:32" ht="16.5" customHeight="1" x14ac:dyDescent="0.35">
      <c r="B59" s="278" t="s">
        <v>382</v>
      </c>
      <c r="C59" s="194">
        <f>Costs!C25</f>
        <v>4480250</v>
      </c>
      <c r="D59" s="194">
        <f>Costs!D25</f>
        <v>4569855</v>
      </c>
      <c r="E59" s="194">
        <f>Costs!E25</f>
        <v>4661252.0999999996</v>
      </c>
      <c r="F59" s="194">
        <f>Costs!F25</f>
        <v>4754477.142</v>
      </c>
      <c r="G59" s="194">
        <f>Costs!G25</f>
        <v>4849566.6848400002</v>
      </c>
      <c r="H59" s="194">
        <f>Costs!H25</f>
        <v>4946558.0185368005</v>
      </c>
      <c r="I59" s="194">
        <f>Costs!I25</f>
        <v>5045489.178907536</v>
      </c>
      <c r="J59" s="194">
        <f>Costs!J25</f>
        <v>5146398.9624856859</v>
      </c>
      <c r="K59" s="194">
        <f>Costs!K25</f>
        <v>5249326.9417353999</v>
      </c>
      <c r="L59" s="194">
        <f>Costs!L25</f>
        <v>5354313.4805701086</v>
      </c>
      <c r="M59" s="194">
        <f>Costs!M25</f>
        <v>5461399.7501815092</v>
      </c>
      <c r="N59" s="194">
        <f>Costs!N25</f>
        <v>5570627.7451851396</v>
      </c>
      <c r="O59" s="194">
        <f>Costs!O25</f>
        <v>5682040.3000888433</v>
      </c>
      <c r="P59" s="194">
        <f>Costs!P25</f>
        <v>5795681.1060906202</v>
      </c>
      <c r="Q59" s="194">
        <f>Costs!Q25</f>
        <v>5911594.7282124329</v>
      </c>
      <c r="R59" s="194">
        <f>Costs!R25</f>
        <v>6029826.6227766797</v>
      </c>
      <c r="S59" s="194">
        <f>Costs!S25</f>
        <v>6150423.1552322153</v>
      </c>
      <c r="T59" s="194">
        <f>Costs!T25</f>
        <v>6273431.6183368601</v>
      </c>
      <c r="U59" s="194">
        <f>Costs!U25</f>
        <v>6398900.2507035965</v>
      </c>
      <c r="V59" s="194">
        <f>Costs!V25</f>
        <v>6526878.2557176678</v>
      </c>
      <c r="W59" s="194">
        <f>Costs!W25</f>
        <v>6657415.8208320206</v>
      </c>
      <c r="X59" s="194">
        <f>Costs!X25</f>
        <v>6790564.1372486623</v>
      </c>
      <c r="Y59" s="194">
        <f>Costs!Y25</f>
        <v>6926375.4199936353</v>
      </c>
      <c r="Z59" s="194">
        <f>Costs!Z25</f>
        <v>7064902.9283935074</v>
      </c>
      <c r="AA59" s="194">
        <f>Costs!AA25</f>
        <v>7206200.9869613769</v>
      </c>
      <c r="AB59" s="194">
        <f>Costs!AB25</f>
        <v>7350325.0067006033</v>
      </c>
      <c r="AC59" s="194">
        <f>Costs!AC25</f>
        <v>7497331.5068346178</v>
      </c>
      <c r="AD59" s="194">
        <f>Costs!AD25</f>
        <v>7647278.1369713088</v>
      </c>
      <c r="AE59" s="194">
        <f>Costs!AE25</f>
        <v>7800223.6997107361</v>
      </c>
      <c r="AF59" s="194">
        <f>Costs!AF25</f>
        <v>7956228.1737049492</v>
      </c>
    </row>
    <row r="60" spans="1:32" ht="16.5" customHeight="1" x14ac:dyDescent="0.35">
      <c r="B60" s="251" t="s">
        <v>405</v>
      </c>
      <c r="C60" s="116">
        <f t="shared" ref="C60:AF60" si="10">C58-C59</f>
        <v>13240003.640000001</v>
      </c>
      <c r="D60" s="116">
        <f t="shared" si="10"/>
        <v>13246935.7243305</v>
      </c>
      <c r="E60" s="116">
        <f t="shared" si="10"/>
        <v>13253779.644148258</v>
      </c>
      <c r="F60" s="116">
        <f t="shared" si="10"/>
        <v>13260527.388321813</v>
      </c>
      <c r="G60" s="116">
        <f t="shared" si="10"/>
        <v>13267170.719829496</v>
      </c>
      <c r="H60" s="116">
        <f t="shared" si="10"/>
        <v>13273701.17261762</v>
      </c>
      <c r="I60" s="116">
        <f t="shared" si="10"/>
        <v>13280110.048364703</v>
      </c>
      <c r="J60" s="116">
        <f t="shared" si="10"/>
        <v>13286388.413150113</v>
      </c>
      <c r="K60" s="116">
        <f t="shared" si="10"/>
        <v>13292527.094026016</v>
      </c>
      <c r="L60" s="116">
        <f t="shared" si="10"/>
        <v>13298516.675490987</v>
      </c>
      <c r="M60" s="116">
        <f t="shared" si="10"/>
        <v>13304347.495864065</v>
      </c>
      <c r="N60" s="116">
        <f t="shared" si="10"/>
        <v>13310009.643557623</v>
      </c>
      <c r="O60" s="116">
        <f t="shared" si="10"/>
        <v>13315492.953247597</v>
      </c>
      <c r="P60" s="116">
        <f t="shared" si="10"/>
        <v>13320787.001939513</v>
      </c>
      <c r="Q60" s="116">
        <f t="shared" si="10"/>
        <v>13325881.104928708</v>
      </c>
      <c r="R60" s="116">
        <f t="shared" si="10"/>
        <v>13330764.311653133</v>
      </c>
      <c r="S60" s="116">
        <f t="shared" si="10"/>
        <v>13335425.401437061</v>
      </c>
      <c r="T60" s="116">
        <f t="shared" si="10"/>
        <v>13339852.879123881</v>
      </c>
      <c r="U60" s="116">
        <f t="shared" si="10"/>
        <v>13344034.970596436</v>
      </c>
      <c r="V60" s="116">
        <f t="shared" si="10"/>
        <v>13347959.618182868</v>
      </c>
      <c r="W60" s="116">
        <f t="shared" si="10"/>
        <v>8089394.6605330305</v>
      </c>
      <c r="X60" s="116">
        <f t="shared" si="10"/>
        <v>7996261.4643401103</v>
      </c>
      <c r="Y60" s="116">
        <f t="shared" si="10"/>
        <v>7902707.4875622354</v>
      </c>
      <c r="Z60" s="116">
        <f t="shared" si="10"/>
        <v>7808717.1077708807</v>
      </c>
      <c r="AA60" s="116">
        <f t="shared" si="10"/>
        <v>7714274.3912453847</v>
      </c>
      <c r="AB60" s="116">
        <f t="shared" si="10"/>
        <v>7619363.0875933357</v>
      </c>
      <c r="AC60" s="116">
        <f t="shared" si="10"/>
        <v>7523966.6242426066</v>
      </c>
      <c r="AD60" s="116">
        <f t="shared" si="10"/>
        <v>7428068.1008029254</v>
      </c>
      <c r="AE60" s="116">
        <f t="shared" si="10"/>
        <v>7331650.2832946535</v>
      </c>
      <c r="AF60" s="116">
        <f t="shared" si="10"/>
        <v>7234695.5982425502</v>
      </c>
    </row>
    <row r="61" spans="1:32" ht="16.5" customHeight="1" x14ac:dyDescent="0.35">
      <c r="B61" s="278" t="s">
        <v>406</v>
      </c>
      <c r="C61" s="194">
        <f>Debt!C23</f>
        <v>5769203.2300752522</v>
      </c>
      <c r="D61" s="194">
        <f>Debt!D23</f>
        <v>5599515.9535829136</v>
      </c>
      <c r="E61" s="194">
        <f>Debt!E23</f>
        <v>5417950.5677361107</v>
      </c>
      <c r="F61" s="194">
        <f>Debt!F23</f>
        <v>5223675.6048800331</v>
      </c>
      <c r="G61" s="194">
        <f>Debt!G23</f>
        <v>5015801.3946240284</v>
      </c>
      <c r="H61" s="194">
        <f>Debt!H23</f>
        <v>4793375.9896501033</v>
      </c>
      <c r="I61" s="194">
        <f>Debt!I23</f>
        <v>4555380.8063280042</v>
      </c>
      <c r="J61" s="194">
        <f>Debt!J23</f>
        <v>4300725.9601733582</v>
      </c>
      <c r="K61" s="194">
        <f>Debt!K23</f>
        <v>4028245.274787887</v>
      </c>
      <c r="L61" s="194">
        <f>Debt!L23</f>
        <v>3736690.9414254325</v>
      </c>
      <c r="M61" s="194">
        <f>Debt!M23</f>
        <v>3424727.804727606</v>
      </c>
      <c r="N61" s="194">
        <f>Debt!N23</f>
        <v>3090927.2484609322</v>
      </c>
      <c r="O61" s="194">
        <f>Debt!O23</f>
        <v>2733760.6532555907</v>
      </c>
      <c r="P61" s="194">
        <f>Debt!P23</f>
        <v>2351592.3963858751</v>
      </c>
      <c r="Q61" s="194">
        <f>Debt!Q23</f>
        <v>1942672.36153528</v>
      </c>
      <c r="R61" s="194">
        <f>Debt!R23</f>
        <v>1505127.9242451431</v>
      </c>
      <c r="S61" s="194">
        <f>Debt!S23</f>
        <v>1036955.3763446966</v>
      </c>
      <c r="T61" s="194">
        <f>Debt!T23</f>
        <v>536010.75009121886</v>
      </c>
      <c r="U61" s="194">
        <f>Debt!U23</f>
        <v>-2.3469328880310063E-9</v>
      </c>
      <c r="V61" s="194">
        <f>Debt!V23</f>
        <v>-2.5112181901931768E-9</v>
      </c>
      <c r="W61" s="194">
        <f>Debt!W23</f>
        <v>-2.6870034635066995E-9</v>
      </c>
      <c r="X61" s="194">
        <f>Debt!X23</f>
        <v>-2.8750937059521681E-9</v>
      </c>
      <c r="Y61" s="194">
        <f>Debt!Y23</f>
        <v>-3.0763502653688203E-9</v>
      </c>
      <c r="Z61" s="194">
        <f>Debt!Z23</f>
        <v>-3.2916947839446374E-9</v>
      </c>
      <c r="AA61" s="194">
        <f>Debt!AA23</f>
        <v>-3.5221134188207621E-9</v>
      </c>
      <c r="AB61" s="194">
        <f>Debt!AB23</f>
        <v>-3.7686613581382157E-9</v>
      </c>
      <c r="AC61" s="194">
        <f>Debt!AC23</f>
        <v>-4.0324676532078911E-9</v>
      </c>
      <c r="AD61" s="194">
        <f>Debt!AD23</f>
        <v>-4.3147403889324434E-9</v>
      </c>
      <c r="AE61" s="194">
        <f>Debt!AE23</f>
        <v>-4.6167722161577146E-9</v>
      </c>
      <c r="AF61" s="194">
        <f>Debt!AF23</f>
        <v>-4.9399462712887546E-9</v>
      </c>
    </row>
    <row r="62" spans="1:32" ht="16.5" customHeight="1" x14ac:dyDescent="0.35">
      <c r="B62" s="251" t="s">
        <v>457</v>
      </c>
      <c r="C62" s="116">
        <f>IF(Inputs!$D$79="ITC",Tax!C30,Tax!C39)</f>
        <v>27897000</v>
      </c>
      <c r="D62" s="116">
        <f>IF(Inputs!$D$79="ITC",Tax!D30,Tax!D39)</f>
        <v>44635200</v>
      </c>
      <c r="E62" s="116">
        <f>IF(Inputs!$D$79="ITC",Tax!E30,Tax!E39)</f>
        <v>26781120</v>
      </c>
      <c r="F62" s="116">
        <f>IF(Inputs!$D$79="ITC",Tax!F30,Tax!F39)</f>
        <v>16068672</v>
      </c>
      <c r="G62" s="116">
        <f>IF(Inputs!$D$79="ITC",Tax!G30,Tax!G39)</f>
        <v>16068672</v>
      </c>
      <c r="H62" s="116">
        <f>IF(Inputs!$D$79="ITC",Tax!H30,Tax!H39)</f>
        <v>8034336</v>
      </c>
      <c r="I62" s="116">
        <f>IF(Inputs!$D$79="ITC",Tax!I30,Tax!I39)</f>
        <v>0</v>
      </c>
      <c r="J62" s="116">
        <f>IF(Inputs!$D$79="ITC",Tax!J30,Tax!J39)</f>
        <v>0</v>
      </c>
      <c r="K62" s="116">
        <f>IF(Inputs!$D$79="ITC",Tax!K30,Tax!K39)</f>
        <v>0</v>
      </c>
      <c r="L62" s="116">
        <f>IF(Inputs!$D$79="ITC",Tax!L30,Tax!L39)</f>
        <v>0</v>
      </c>
      <c r="M62" s="116">
        <f>IF(Inputs!$D$79="ITC",Tax!M30,Tax!M39)</f>
        <v>0</v>
      </c>
      <c r="N62" s="116">
        <f>IF(Inputs!$D$79="ITC",Tax!N30,Tax!N39)</f>
        <v>0</v>
      </c>
      <c r="O62" s="116">
        <f>IF(Inputs!$D$79="ITC",Tax!O30,Tax!O39)</f>
        <v>0</v>
      </c>
      <c r="P62" s="116">
        <f>IF(Inputs!$D$79="ITC",Tax!P30,Tax!P39)</f>
        <v>0</v>
      </c>
      <c r="Q62" s="116">
        <f>IF(Inputs!$D$79="ITC",Tax!Q30,Tax!Q39)</f>
        <v>0</v>
      </c>
      <c r="R62" s="116">
        <f>IF(Inputs!$D$79="ITC",Tax!R30,Tax!R39)</f>
        <v>0</v>
      </c>
      <c r="S62" s="116">
        <f>IF(Inputs!$D$79="ITC",Tax!S30,Tax!S39)</f>
        <v>0</v>
      </c>
      <c r="T62" s="116">
        <f>IF(Inputs!$D$79="ITC",Tax!T30,Tax!T39)</f>
        <v>0</v>
      </c>
      <c r="U62" s="116">
        <f>IF(Inputs!$D$79="ITC",Tax!U30,Tax!U39)</f>
        <v>0</v>
      </c>
      <c r="V62" s="116">
        <f>IF(Inputs!$D$79="ITC",Tax!V30,Tax!V39)</f>
        <v>0</v>
      </c>
      <c r="W62" s="116">
        <f>IF(Inputs!$D$79="ITC",Tax!W30,Tax!W39)</f>
        <v>0</v>
      </c>
      <c r="X62" s="116">
        <f>IF(Inputs!$D$79="ITC",Tax!X30,Tax!X39)</f>
        <v>0</v>
      </c>
      <c r="Y62" s="116">
        <f>IF(Inputs!$D$79="ITC",Tax!Y30,Tax!Y39)</f>
        <v>0</v>
      </c>
      <c r="Z62" s="116">
        <f>IF(Inputs!$D$79="ITC",Tax!Z30,Tax!Z39)</f>
        <v>0</v>
      </c>
      <c r="AA62" s="116">
        <f>IF(Inputs!$D$79="ITC",Tax!AA30,Tax!AA39)</f>
        <v>0</v>
      </c>
      <c r="AB62" s="116">
        <f>IF(Inputs!$D$79="ITC",Tax!AB30,Tax!AB39)</f>
        <v>0</v>
      </c>
      <c r="AC62" s="116">
        <f>IF(Inputs!$D$79="ITC",Tax!AC30,Tax!AC39)</f>
        <v>0</v>
      </c>
      <c r="AD62" s="116">
        <f>IF(Inputs!$D$79="ITC",Tax!AD30,Tax!AD39)</f>
        <v>0</v>
      </c>
      <c r="AE62" s="116">
        <f>IF(Inputs!$D$79="ITC",Tax!AE30,Tax!AE39)</f>
        <v>0</v>
      </c>
      <c r="AF62" s="116">
        <f>IF(Inputs!$D$79="ITC",Tax!AF30,Tax!AF39)</f>
        <v>0</v>
      </c>
    </row>
    <row r="63" spans="1:32" ht="16.5" customHeight="1" x14ac:dyDescent="0.35">
      <c r="B63" s="278" t="s">
        <v>408</v>
      </c>
      <c r="C63" s="194">
        <f t="shared" ref="C63:AF63" si="11">C60-C61-C62</f>
        <v>-20426199.590075251</v>
      </c>
      <c r="D63" s="194">
        <f t="shared" si="11"/>
        <v>-36987780.229252413</v>
      </c>
      <c r="E63" s="194">
        <f t="shared" si="11"/>
        <v>-18945290.923587851</v>
      </c>
      <c r="F63" s="194">
        <f t="shared" si="11"/>
        <v>-8031820.2165582199</v>
      </c>
      <c r="G63" s="194">
        <f t="shared" si="11"/>
        <v>-7817302.6747945324</v>
      </c>
      <c r="H63" s="194">
        <f t="shared" si="11"/>
        <v>445989.18296751752</v>
      </c>
      <c r="I63" s="194">
        <f t="shared" si="11"/>
        <v>8724729.2420366984</v>
      </c>
      <c r="J63" s="194">
        <f t="shared" si="11"/>
        <v>8985662.4529767558</v>
      </c>
      <c r="K63" s="194">
        <f t="shared" si="11"/>
        <v>9264281.81923813</v>
      </c>
      <c r="L63" s="194">
        <f t="shared" si="11"/>
        <v>9561825.734065555</v>
      </c>
      <c r="M63" s="194">
        <f t="shared" si="11"/>
        <v>9879619.6911364589</v>
      </c>
      <c r="N63" s="194">
        <f t="shared" si="11"/>
        <v>10219082.395096691</v>
      </c>
      <c r="O63" s="194">
        <f t="shared" si="11"/>
        <v>10581732.299992006</v>
      </c>
      <c r="P63" s="194">
        <f t="shared" si="11"/>
        <v>10969194.605553638</v>
      </c>
      <c r="Q63" s="194">
        <f t="shared" si="11"/>
        <v>11383208.743393429</v>
      </c>
      <c r="R63" s="194">
        <f t="shared" si="11"/>
        <v>11825636.38740799</v>
      </c>
      <c r="S63" s="194">
        <f t="shared" si="11"/>
        <v>12298470.025092363</v>
      </c>
      <c r="T63" s="194">
        <f t="shared" si="11"/>
        <v>12803842.129032662</v>
      </c>
      <c r="U63" s="194">
        <f t="shared" si="11"/>
        <v>13344034.970596438</v>
      </c>
      <c r="V63" s="194">
        <f t="shared" si="11"/>
        <v>13347959.61818287</v>
      </c>
      <c r="W63" s="194">
        <f t="shared" si="11"/>
        <v>8089394.6605330333</v>
      </c>
      <c r="X63" s="194">
        <f t="shared" si="11"/>
        <v>7996261.4643401131</v>
      </c>
      <c r="Y63" s="194">
        <f t="shared" si="11"/>
        <v>7902707.4875622382</v>
      </c>
      <c r="Z63" s="194">
        <f t="shared" si="11"/>
        <v>7808717.1077708844</v>
      </c>
      <c r="AA63" s="194">
        <f t="shared" si="11"/>
        <v>7714274.3912453884</v>
      </c>
      <c r="AB63" s="194">
        <f t="shared" si="11"/>
        <v>7619363.0875933394</v>
      </c>
      <c r="AC63" s="194">
        <f t="shared" si="11"/>
        <v>7523966.6242426103</v>
      </c>
      <c r="AD63" s="194">
        <f t="shared" si="11"/>
        <v>7428068.1008029301</v>
      </c>
      <c r="AE63" s="194">
        <f t="shared" si="11"/>
        <v>7331650.2832946582</v>
      </c>
      <c r="AF63" s="194">
        <f t="shared" si="11"/>
        <v>7234695.5982425548</v>
      </c>
    </row>
    <row r="64" spans="1:32" ht="16.5" customHeight="1" x14ac:dyDescent="0.35">
      <c r="B64" s="251" t="s">
        <v>458</v>
      </c>
      <c r="C64" s="116">
        <f>MAX(C63*Inputs!$D$89,0)</f>
        <v>0</v>
      </c>
      <c r="D64" s="116">
        <f>MAX(D63*Inputs!$D$89,0)</f>
        <v>0</v>
      </c>
      <c r="E64" s="116">
        <f>MAX(E63*Inputs!$D$89,0)</f>
        <v>0</v>
      </c>
      <c r="F64" s="116">
        <f>MAX(F63*Inputs!$D$89,0)</f>
        <v>0</v>
      </c>
      <c r="G64" s="116">
        <f>MAX(G63*Inputs!$D$89,0)</f>
        <v>0</v>
      </c>
      <c r="H64" s="116">
        <f>MAX(H63*Inputs!$D$89,0)</f>
        <v>93657.728423178676</v>
      </c>
      <c r="I64" s="116">
        <f>MAX(I63*Inputs!$D$89,0)</f>
        <v>1832193.1408277065</v>
      </c>
      <c r="J64" s="116">
        <f>MAX(J63*Inputs!$D$89,0)</f>
        <v>1886989.1151251188</v>
      </c>
      <c r="K64" s="116">
        <f>MAX(K63*Inputs!$D$89,0)</f>
        <v>1945499.1820400073</v>
      </c>
      <c r="L64" s="116">
        <f>MAX(L63*Inputs!$D$89,0)</f>
        <v>2007983.4041537666</v>
      </c>
      <c r="M64" s="116">
        <f>MAX(M63*Inputs!$D$89,0)</f>
        <v>2074720.1351386562</v>
      </c>
      <c r="N64" s="116">
        <f>MAX(N63*Inputs!$D$89,0)</f>
        <v>2146007.3029703051</v>
      </c>
      <c r="O64" s="116">
        <f>MAX(O63*Inputs!$D$89,0)</f>
        <v>2222163.7829983211</v>
      </c>
      <c r="P64" s="116">
        <f>MAX(P63*Inputs!$D$89,0)</f>
        <v>2303530.867166264</v>
      </c>
      <c r="Q64" s="116">
        <f>MAX(Q63*Inputs!$D$89,0)</f>
        <v>2390473.8361126198</v>
      </c>
      <c r="R64" s="116">
        <f>MAX(R63*Inputs!$D$89,0)</f>
        <v>2483383.641355678</v>
      </c>
      <c r="S64" s="116">
        <f>MAX(S63*Inputs!$D$89,0)</f>
        <v>2582678.7052693963</v>
      </c>
      <c r="T64" s="116">
        <f>MAX(T63*Inputs!$D$89,0)</f>
        <v>2688806.847096859</v>
      </c>
      <c r="U64" s="116">
        <f>MAX(U63*Inputs!$D$89,0)</f>
        <v>2802247.3438252518</v>
      </c>
      <c r="V64" s="116">
        <f>MAX(V63*Inputs!$D$89,0)</f>
        <v>2803071.5198184024</v>
      </c>
      <c r="W64" s="116">
        <f>MAX(W63*Inputs!$D$89,0)</f>
        <v>1698772.878711937</v>
      </c>
      <c r="X64" s="116">
        <f>MAX(X63*Inputs!$D$89,0)</f>
        <v>1679214.9075114236</v>
      </c>
      <c r="Y64" s="116">
        <f>MAX(Y63*Inputs!$D$89,0)</f>
        <v>1659568.5723880699</v>
      </c>
      <c r="Z64" s="116">
        <f>MAX(Z63*Inputs!$D$89,0)</f>
        <v>1639830.5926318855</v>
      </c>
      <c r="AA64" s="116">
        <f>MAX(AA63*Inputs!$D$89,0)</f>
        <v>1619997.6221615316</v>
      </c>
      <c r="AB64" s="116">
        <f>MAX(AB63*Inputs!$D$89,0)</f>
        <v>1600066.2483946013</v>
      </c>
      <c r="AC64" s="116">
        <f>MAX(AC63*Inputs!$D$89,0)</f>
        <v>1580032.991090948</v>
      </c>
      <c r="AD64" s="116">
        <f>MAX(AD63*Inputs!$D$89,0)</f>
        <v>1559894.3011686152</v>
      </c>
      <c r="AE64" s="116">
        <f>MAX(AE63*Inputs!$D$89,0)</f>
        <v>1539646.5594918781</v>
      </c>
      <c r="AF64" s="116">
        <f>MAX(AF63*Inputs!$D$89,0)</f>
        <v>1519286.0756309365</v>
      </c>
    </row>
    <row r="65" spans="2:32" ht="16.5" customHeight="1" x14ac:dyDescent="0.35">
      <c r="B65" s="278" t="s">
        <v>459</v>
      </c>
      <c r="C65" s="194">
        <f>IF(Inputs!$D$79="PTC",Tax!C24,0)</f>
        <v>0</v>
      </c>
      <c r="D65" s="194">
        <f>IF(Inputs!$D$79="PTC",Tax!D24,0)</f>
        <v>0</v>
      </c>
      <c r="E65" s="194">
        <f>IF(Inputs!$D$79="PTC",Tax!E24,0)</f>
        <v>0</v>
      </c>
      <c r="F65" s="194">
        <f>IF(Inputs!$D$79="PTC",Tax!F24,0)</f>
        <v>0</v>
      </c>
      <c r="G65" s="194">
        <f>IF(Inputs!$D$79="PTC",Tax!G24,0)</f>
        <v>0</v>
      </c>
      <c r="H65" s="194">
        <f>IF(Inputs!$D$79="PTC",Tax!H24,0)</f>
        <v>0</v>
      </c>
      <c r="I65" s="194">
        <f>IF(Inputs!$D$79="PTC",Tax!I24,0)</f>
        <v>0</v>
      </c>
      <c r="J65" s="194">
        <f>IF(Inputs!$D$79="PTC",Tax!J24,0)</f>
        <v>0</v>
      </c>
      <c r="K65" s="194">
        <f>IF(Inputs!$D$79="PTC",Tax!K24,0)</f>
        <v>0</v>
      </c>
      <c r="L65" s="194">
        <f>IF(Inputs!$D$79="PTC",Tax!L24,0)</f>
        <v>0</v>
      </c>
      <c r="M65" s="194">
        <f>IF(Inputs!$D$79="PTC",Tax!M24,0)</f>
        <v>0</v>
      </c>
      <c r="N65" s="194">
        <f>IF(Inputs!$D$79="PTC",Tax!N24,0)</f>
        <v>0</v>
      </c>
      <c r="O65" s="194">
        <f>IF(Inputs!$D$79="PTC",Tax!O24,0)</f>
        <v>0</v>
      </c>
      <c r="P65" s="194">
        <f>IF(Inputs!$D$79="PTC",Tax!P24,0)</f>
        <v>0</v>
      </c>
      <c r="Q65" s="194">
        <f>IF(Inputs!$D$79="PTC",Tax!Q24,0)</f>
        <v>0</v>
      </c>
      <c r="R65" s="194">
        <f>IF(Inputs!$D$79="PTC",Tax!R24,0)</f>
        <v>0</v>
      </c>
      <c r="S65" s="194">
        <f>IF(Inputs!$D$79="PTC",Tax!S24,0)</f>
        <v>0</v>
      </c>
      <c r="T65" s="194">
        <f>IF(Inputs!$D$79="PTC",Tax!T24,0)</f>
        <v>0</v>
      </c>
      <c r="U65" s="194">
        <f>IF(Inputs!$D$79="PTC",Tax!U24,0)</f>
        <v>0</v>
      </c>
      <c r="V65" s="194">
        <f>IF(Inputs!$D$79="PTC",Tax!V24,0)</f>
        <v>0</v>
      </c>
      <c r="W65" s="194">
        <f>IF(Inputs!$D$79="PTC",Tax!W24,0)</f>
        <v>0</v>
      </c>
      <c r="X65" s="194">
        <f>IF(Inputs!$D$79="PTC",Tax!X24,0)</f>
        <v>0</v>
      </c>
      <c r="Y65" s="194">
        <f>IF(Inputs!$D$79="PTC",Tax!Y24,0)</f>
        <v>0</v>
      </c>
      <c r="Z65" s="194">
        <f>IF(Inputs!$D$79="PTC",Tax!Z24,0)</f>
        <v>0</v>
      </c>
      <c r="AA65" s="194">
        <f>IF(Inputs!$D$79="PTC",Tax!AA24,0)</f>
        <v>0</v>
      </c>
      <c r="AB65" s="194">
        <f>IF(Inputs!$D$79="PTC",Tax!AB24,0)</f>
        <v>0</v>
      </c>
      <c r="AC65" s="194">
        <f>IF(Inputs!$D$79="PTC",Tax!AC24,0)</f>
        <v>0</v>
      </c>
      <c r="AD65" s="194">
        <f>IF(Inputs!$D$79="PTC",Tax!AD24,0)</f>
        <v>0</v>
      </c>
      <c r="AE65" s="194">
        <f>IF(Inputs!$D$79="PTC",Tax!AE24,0)</f>
        <v>0</v>
      </c>
      <c r="AF65" s="194">
        <f>IF(Inputs!$D$79="PTC",Tax!AF24,0)</f>
        <v>0</v>
      </c>
    </row>
    <row r="66" spans="2:32" ht="18" customHeight="1" x14ac:dyDescent="0.35">
      <c r="B66" s="274" t="s">
        <v>460</v>
      </c>
      <c r="C66" s="275">
        <f t="shared" ref="C66:AF66" si="12">MAX(C64-C65,0)</f>
        <v>0</v>
      </c>
      <c r="D66" s="275">
        <f t="shared" si="12"/>
        <v>0</v>
      </c>
      <c r="E66" s="275">
        <f t="shared" si="12"/>
        <v>0</v>
      </c>
      <c r="F66" s="275">
        <f t="shared" si="12"/>
        <v>0</v>
      </c>
      <c r="G66" s="275">
        <f t="shared" si="12"/>
        <v>0</v>
      </c>
      <c r="H66" s="275">
        <f t="shared" si="12"/>
        <v>93657.728423178676</v>
      </c>
      <c r="I66" s="275">
        <f t="shared" si="12"/>
        <v>1832193.1408277065</v>
      </c>
      <c r="J66" s="275">
        <f t="shared" si="12"/>
        <v>1886989.1151251188</v>
      </c>
      <c r="K66" s="275">
        <f t="shared" si="12"/>
        <v>1945499.1820400073</v>
      </c>
      <c r="L66" s="275">
        <f t="shared" si="12"/>
        <v>2007983.4041537666</v>
      </c>
      <c r="M66" s="275">
        <f t="shared" si="12"/>
        <v>2074720.1351386562</v>
      </c>
      <c r="N66" s="275">
        <f t="shared" si="12"/>
        <v>2146007.3029703051</v>
      </c>
      <c r="O66" s="275">
        <f t="shared" si="12"/>
        <v>2222163.7829983211</v>
      </c>
      <c r="P66" s="275">
        <f t="shared" si="12"/>
        <v>2303530.867166264</v>
      </c>
      <c r="Q66" s="275">
        <f t="shared" si="12"/>
        <v>2390473.8361126198</v>
      </c>
      <c r="R66" s="275">
        <f t="shared" si="12"/>
        <v>2483383.641355678</v>
      </c>
      <c r="S66" s="275">
        <f t="shared" si="12"/>
        <v>2582678.7052693963</v>
      </c>
      <c r="T66" s="275">
        <f t="shared" si="12"/>
        <v>2688806.847096859</v>
      </c>
      <c r="U66" s="275">
        <f t="shared" si="12"/>
        <v>2802247.3438252518</v>
      </c>
      <c r="V66" s="275">
        <f t="shared" si="12"/>
        <v>2803071.5198184024</v>
      </c>
      <c r="W66" s="275">
        <f t="shared" si="12"/>
        <v>1698772.878711937</v>
      </c>
      <c r="X66" s="275">
        <f t="shared" si="12"/>
        <v>1679214.9075114236</v>
      </c>
      <c r="Y66" s="275">
        <f t="shared" si="12"/>
        <v>1659568.5723880699</v>
      </c>
      <c r="Z66" s="275">
        <f t="shared" si="12"/>
        <v>1639830.5926318855</v>
      </c>
      <c r="AA66" s="275">
        <f t="shared" si="12"/>
        <v>1619997.6221615316</v>
      </c>
      <c r="AB66" s="275">
        <f t="shared" si="12"/>
        <v>1600066.2483946013</v>
      </c>
      <c r="AC66" s="275">
        <f t="shared" si="12"/>
        <v>1580032.991090948</v>
      </c>
      <c r="AD66" s="275">
        <f t="shared" si="12"/>
        <v>1559894.3011686152</v>
      </c>
      <c r="AE66" s="275">
        <f t="shared" si="12"/>
        <v>1539646.5594918781</v>
      </c>
      <c r="AF66" s="275">
        <f t="shared" si="12"/>
        <v>1519286.0756309365</v>
      </c>
    </row>
  </sheetData>
  <mergeCells count="1">
    <mergeCell ref="A1:A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AG57"/>
  <sheetViews>
    <sheetView showGridLines="0" zoomScaleNormal="100" workbookViewId="0">
      <selection activeCell="D25" sqref="D25"/>
    </sheetView>
  </sheetViews>
  <sheetFormatPr defaultColWidth="8.7265625" defaultRowHeight="14.5" x14ac:dyDescent="0.35"/>
  <cols>
    <col min="1" max="1" width="1.1796875" customWidth="1"/>
    <col min="2" max="2" width="33.453125" bestFit="1" customWidth="1"/>
    <col min="3" max="3" width="16.1796875" bestFit="1" customWidth="1"/>
    <col min="4" max="10" width="15.1796875" bestFit="1" customWidth="1"/>
    <col min="11" max="32" width="14.54296875" bestFit="1" customWidth="1"/>
    <col min="33" max="33" width="15.54296875" bestFit="1" customWidth="1"/>
  </cols>
  <sheetData>
    <row r="1" spans="1:33" ht="27.75" customHeight="1" thickBot="1" x14ac:dyDescent="0.4">
      <c r="A1" s="512" t="s">
        <v>461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</row>
    <row r="2" spans="1:33" ht="16.5" customHeight="1" x14ac:dyDescent="0.35">
      <c r="A2" s="383" t="s">
        <v>462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</row>
    <row r="3" spans="1:33" ht="16.5" customHeight="1" x14ac:dyDescent="0.35">
      <c r="B3" s="381" t="s">
        <v>463</v>
      </c>
      <c r="C3" s="382">
        <f>Costs!C13*-1</f>
        <v>-172100000</v>
      </c>
      <c r="D3" s="152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</row>
    <row r="4" spans="1:33" ht="16.5" customHeight="1" x14ac:dyDescent="0.35">
      <c r="B4" s="251" t="s">
        <v>365</v>
      </c>
      <c r="C4" s="350">
        <f>IF(Inputs!$D$79="ITC",Tax!$C$10,0)</f>
        <v>45537750</v>
      </c>
      <c r="D4" s="152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</row>
    <row r="5" spans="1:33" ht="18" customHeight="1" x14ac:dyDescent="0.35">
      <c r="B5" s="351" t="s">
        <v>464</v>
      </c>
      <c r="C5" s="352">
        <f>C3+C4</f>
        <v>-126562250</v>
      </c>
      <c r="D5" s="157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</row>
    <row r="6" spans="1:33" ht="18" customHeight="1" x14ac:dyDescent="0.35">
      <c r="B6" s="318" t="s">
        <v>303</v>
      </c>
      <c r="C6" s="318">
        <v>0</v>
      </c>
      <c r="D6" s="318">
        <v>1</v>
      </c>
      <c r="E6" s="318">
        <v>2</v>
      </c>
      <c r="F6" s="318">
        <v>3</v>
      </c>
      <c r="G6" s="318">
        <v>4</v>
      </c>
      <c r="H6" s="318">
        <v>5</v>
      </c>
      <c r="I6" s="318">
        <v>6</v>
      </c>
      <c r="J6" s="318">
        <v>7</v>
      </c>
      <c r="K6" s="318">
        <v>8</v>
      </c>
      <c r="L6" s="318">
        <v>9</v>
      </c>
      <c r="M6" s="318">
        <v>10</v>
      </c>
      <c r="N6" s="318">
        <v>11</v>
      </c>
      <c r="O6" s="318">
        <v>12</v>
      </c>
      <c r="P6" s="318">
        <v>13</v>
      </c>
      <c r="Q6" s="318">
        <v>14</v>
      </c>
      <c r="R6" s="318">
        <v>15</v>
      </c>
      <c r="S6" s="318">
        <v>16</v>
      </c>
      <c r="T6" s="318">
        <v>17</v>
      </c>
      <c r="U6" s="318">
        <v>18</v>
      </c>
      <c r="V6" s="318">
        <v>19</v>
      </c>
      <c r="W6" s="318">
        <v>20</v>
      </c>
      <c r="X6" s="318">
        <v>21</v>
      </c>
      <c r="Y6" s="318">
        <v>22</v>
      </c>
      <c r="Z6" s="318">
        <v>23</v>
      </c>
      <c r="AA6" s="318">
        <v>24</v>
      </c>
      <c r="AB6" s="318">
        <v>25</v>
      </c>
      <c r="AC6" s="318">
        <v>26</v>
      </c>
      <c r="AD6" s="318">
        <v>27</v>
      </c>
      <c r="AE6" s="318">
        <v>28</v>
      </c>
      <c r="AF6" s="318">
        <v>29</v>
      </c>
      <c r="AG6" s="318">
        <v>30</v>
      </c>
    </row>
    <row r="7" spans="1:33" s="218" customFormat="1" ht="16.5" customHeight="1" x14ac:dyDescent="0.35">
      <c r="B7" s="353" t="s">
        <v>404</v>
      </c>
      <c r="C7" s="354">
        <v>0</v>
      </c>
      <c r="D7" s="354">
        <f>Revenue!C50</f>
        <v>17720253.640000001</v>
      </c>
      <c r="E7" s="354">
        <f>Revenue!D50</f>
        <v>17816790.7243305</v>
      </c>
      <c r="F7" s="354">
        <f>Revenue!E50</f>
        <v>17915031.744148258</v>
      </c>
      <c r="G7" s="354">
        <f>Revenue!F50</f>
        <v>18015004.530321814</v>
      </c>
      <c r="H7" s="354">
        <f>Revenue!G50</f>
        <v>18116737.404669497</v>
      </c>
      <c r="I7" s="354">
        <f>Revenue!H50</f>
        <v>18220259.19115442</v>
      </c>
      <c r="J7" s="354">
        <f>Revenue!I50</f>
        <v>18325599.227272239</v>
      </c>
      <c r="K7" s="354">
        <f>Revenue!J50</f>
        <v>18432787.375635799</v>
      </c>
      <c r="L7" s="354">
        <f>Revenue!K50</f>
        <v>18541854.035761416</v>
      </c>
      <c r="M7" s="354">
        <f>Revenue!L50</f>
        <v>18652830.156061094</v>
      </c>
      <c r="N7" s="354">
        <f>Revenue!M50</f>
        <v>18765747.246045575</v>
      </c>
      <c r="O7" s="354">
        <f>Revenue!N50</f>
        <v>18880637.388742764</v>
      </c>
      <c r="P7" s="354">
        <f>Revenue!O50</f>
        <v>18997533.253336441</v>
      </c>
      <c r="Q7" s="354">
        <f>Revenue!P50</f>
        <v>19116468.108030133</v>
      </c>
      <c r="R7" s="354">
        <f>Revenue!Q50</f>
        <v>19237475.833141141</v>
      </c>
      <c r="S7" s="354">
        <f>Revenue!R50</f>
        <v>19360590.934429813</v>
      </c>
      <c r="T7" s="354">
        <f>Revenue!S50</f>
        <v>19485848.556669276</v>
      </c>
      <c r="U7" s="354">
        <f>Revenue!T50</f>
        <v>19613284.497460742</v>
      </c>
      <c r="V7" s="354">
        <f>Revenue!U50</f>
        <v>19742935.221300032</v>
      </c>
      <c r="W7" s="354">
        <f>Revenue!V50</f>
        <v>19874837.873900536</v>
      </c>
      <c r="X7" s="354">
        <f>Revenue!W50</f>
        <v>14746810.481365051</v>
      </c>
      <c r="Y7" s="354">
        <f>Revenue!X50</f>
        <v>14786825.601588773</v>
      </c>
      <c r="Z7" s="354">
        <f>Revenue!Y50</f>
        <v>14829082.907555871</v>
      </c>
      <c r="AA7" s="354">
        <f>Revenue!Z50</f>
        <v>14873620.036164388</v>
      </c>
      <c r="AB7" s="354">
        <f>Revenue!AA50</f>
        <v>14920475.378206762</v>
      </c>
      <c r="AC7" s="354">
        <f>Revenue!AB50</f>
        <v>14969688.094293939</v>
      </c>
      <c r="AD7" s="354">
        <f>Revenue!AC50</f>
        <v>15021298.131077224</v>
      </c>
      <c r="AE7" s="354">
        <f>Revenue!AD50</f>
        <v>15075346.237774234</v>
      </c>
      <c r="AF7" s="354">
        <f>Revenue!AE50</f>
        <v>15131873.98300539</v>
      </c>
      <c r="AG7" s="354">
        <f>Revenue!AF50</f>
        <v>15190923.771947499</v>
      </c>
    </row>
    <row r="8" spans="1:33" s="218" customFormat="1" ht="16.5" customHeight="1" x14ac:dyDescent="0.35">
      <c r="B8" s="278" t="s">
        <v>382</v>
      </c>
      <c r="C8" s="355">
        <v>0</v>
      </c>
      <c r="D8" s="355">
        <f>Costs!C25</f>
        <v>4480250</v>
      </c>
      <c r="E8" s="355">
        <f>Costs!D25</f>
        <v>4569855</v>
      </c>
      <c r="F8" s="355">
        <f>Costs!E25</f>
        <v>4661252.0999999996</v>
      </c>
      <c r="G8" s="355">
        <f>Costs!F25</f>
        <v>4754477.142</v>
      </c>
      <c r="H8" s="355">
        <f>Costs!G25</f>
        <v>4849566.6848400002</v>
      </c>
      <c r="I8" s="355">
        <f>Costs!H25</f>
        <v>4946558.0185368005</v>
      </c>
      <c r="J8" s="355">
        <f>Costs!I25</f>
        <v>5045489.178907536</v>
      </c>
      <c r="K8" s="355">
        <f>Costs!J25</f>
        <v>5146398.9624856859</v>
      </c>
      <c r="L8" s="355">
        <f>Costs!K25</f>
        <v>5249326.9417353999</v>
      </c>
      <c r="M8" s="355">
        <f>Costs!L25</f>
        <v>5354313.4805701086</v>
      </c>
      <c r="N8" s="355">
        <f>Costs!M25</f>
        <v>5461399.7501815092</v>
      </c>
      <c r="O8" s="355">
        <f>Costs!N25</f>
        <v>5570627.7451851396</v>
      </c>
      <c r="P8" s="355">
        <f>Costs!O25</f>
        <v>5682040.3000888433</v>
      </c>
      <c r="Q8" s="355">
        <f>Costs!P25</f>
        <v>5795681.1060906202</v>
      </c>
      <c r="R8" s="355">
        <f>Costs!Q25</f>
        <v>5911594.7282124329</v>
      </c>
      <c r="S8" s="355">
        <f>Costs!R25</f>
        <v>6029826.6227766797</v>
      </c>
      <c r="T8" s="355">
        <f>Costs!S25</f>
        <v>6150423.1552322153</v>
      </c>
      <c r="U8" s="355">
        <f>Costs!T25</f>
        <v>6273431.6183368601</v>
      </c>
      <c r="V8" s="355">
        <f>Costs!U25</f>
        <v>6398900.2507035965</v>
      </c>
      <c r="W8" s="355">
        <f>Costs!V25</f>
        <v>6526878.2557176678</v>
      </c>
      <c r="X8" s="355">
        <f>Costs!W25</f>
        <v>6657415.8208320206</v>
      </c>
      <c r="Y8" s="355">
        <f>Costs!X25</f>
        <v>6790564.1372486623</v>
      </c>
      <c r="Z8" s="355">
        <f>Costs!Y25</f>
        <v>6926375.4199936353</v>
      </c>
      <c r="AA8" s="355">
        <f>Costs!Z25</f>
        <v>7064902.9283935074</v>
      </c>
      <c r="AB8" s="355">
        <f>Costs!AA25</f>
        <v>7206200.9869613769</v>
      </c>
      <c r="AC8" s="355">
        <f>Costs!AB25</f>
        <v>7350325.0067006033</v>
      </c>
      <c r="AD8" s="355">
        <f>Costs!AC25</f>
        <v>7497331.5068346178</v>
      </c>
      <c r="AE8" s="355">
        <f>Costs!AD25</f>
        <v>7647278.1369713088</v>
      </c>
      <c r="AF8" s="355">
        <f>Costs!AE25</f>
        <v>7800223.6997107361</v>
      </c>
      <c r="AG8" s="355">
        <f>Costs!AF25</f>
        <v>7956228.1737049492</v>
      </c>
    </row>
    <row r="9" spans="1:33" s="218" customFormat="1" ht="16.5" customHeight="1" x14ac:dyDescent="0.35">
      <c r="B9" s="251" t="s">
        <v>405</v>
      </c>
      <c r="C9" s="356">
        <f t="shared" ref="C9:AG9" si="0">C7-C8</f>
        <v>0</v>
      </c>
      <c r="D9" s="356">
        <f t="shared" si="0"/>
        <v>13240003.640000001</v>
      </c>
      <c r="E9" s="356">
        <f t="shared" si="0"/>
        <v>13246935.7243305</v>
      </c>
      <c r="F9" s="356">
        <f t="shared" si="0"/>
        <v>13253779.644148258</v>
      </c>
      <c r="G9" s="356">
        <f t="shared" si="0"/>
        <v>13260527.388321813</v>
      </c>
      <c r="H9" s="356">
        <f t="shared" si="0"/>
        <v>13267170.719829496</v>
      </c>
      <c r="I9" s="356">
        <f t="shared" si="0"/>
        <v>13273701.17261762</v>
      </c>
      <c r="J9" s="356">
        <f t="shared" si="0"/>
        <v>13280110.048364703</v>
      </c>
      <c r="K9" s="356">
        <f t="shared" si="0"/>
        <v>13286388.413150113</v>
      </c>
      <c r="L9" s="356">
        <f t="shared" si="0"/>
        <v>13292527.094026016</v>
      </c>
      <c r="M9" s="356">
        <f t="shared" si="0"/>
        <v>13298516.675490987</v>
      </c>
      <c r="N9" s="356">
        <f t="shared" si="0"/>
        <v>13304347.495864065</v>
      </c>
      <c r="O9" s="356">
        <f t="shared" si="0"/>
        <v>13310009.643557623</v>
      </c>
      <c r="P9" s="356">
        <f t="shared" si="0"/>
        <v>13315492.953247597</v>
      </c>
      <c r="Q9" s="356">
        <f t="shared" si="0"/>
        <v>13320787.001939513</v>
      </c>
      <c r="R9" s="356">
        <f t="shared" si="0"/>
        <v>13325881.104928708</v>
      </c>
      <c r="S9" s="356">
        <f t="shared" si="0"/>
        <v>13330764.311653133</v>
      </c>
      <c r="T9" s="356">
        <f t="shared" si="0"/>
        <v>13335425.401437061</v>
      </c>
      <c r="U9" s="356">
        <f t="shared" si="0"/>
        <v>13339852.879123881</v>
      </c>
      <c r="V9" s="356">
        <f t="shared" si="0"/>
        <v>13344034.970596436</v>
      </c>
      <c r="W9" s="356">
        <f t="shared" si="0"/>
        <v>13347959.618182868</v>
      </c>
      <c r="X9" s="356">
        <f t="shared" si="0"/>
        <v>8089394.6605330305</v>
      </c>
      <c r="Y9" s="356">
        <f t="shared" si="0"/>
        <v>7996261.4643401103</v>
      </c>
      <c r="Z9" s="356">
        <f t="shared" si="0"/>
        <v>7902707.4875622354</v>
      </c>
      <c r="AA9" s="356">
        <f t="shared" si="0"/>
        <v>7808717.1077708807</v>
      </c>
      <c r="AB9" s="356">
        <f t="shared" si="0"/>
        <v>7714274.3912453847</v>
      </c>
      <c r="AC9" s="356">
        <f t="shared" si="0"/>
        <v>7619363.0875933357</v>
      </c>
      <c r="AD9" s="356">
        <f t="shared" si="0"/>
        <v>7523966.6242426066</v>
      </c>
      <c r="AE9" s="356">
        <f t="shared" si="0"/>
        <v>7428068.1008029254</v>
      </c>
      <c r="AF9" s="356">
        <f t="shared" si="0"/>
        <v>7331650.2832946535</v>
      </c>
      <c r="AG9" s="356">
        <f t="shared" si="0"/>
        <v>7234695.5982425502</v>
      </c>
    </row>
    <row r="10" spans="1:33" s="218" customFormat="1" ht="16.5" customHeight="1" x14ac:dyDescent="0.35">
      <c r="B10" s="278" t="s">
        <v>407</v>
      </c>
      <c r="C10" s="355">
        <v>0</v>
      </c>
      <c r="D10" s="355">
        <f>Tax!C62</f>
        <v>27897000</v>
      </c>
      <c r="E10" s="355">
        <f>Tax!D62</f>
        <v>44635200</v>
      </c>
      <c r="F10" s="355">
        <f>Tax!E62</f>
        <v>26781120</v>
      </c>
      <c r="G10" s="355">
        <f>Tax!F62</f>
        <v>16068672</v>
      </c>
      <c r="H10" s="355">
        <f>Tax!G62</f>
        <v>16068672</v>
      </c>
      <c r="I10" s="355">
        <f>Tax!H62</f>
        <v>8034336</v>
      </c>
      <c r="J10" s="355">
        <f>Tax!I62</f>
        <v>0</v>
      </c>
      <c r="K10" s="355">
        <f>Tax!J62</f>
        <v>0</v>
      </c>
      <c r="L10" s="355">
        <f>Tax!K62</f>
        <v>0</v>
      </c>
      <c r="M10" s="355">
        <f>Tax!L62</f>
        <v>0</v>
      </c>
      <c r="N10" s="355">
        <f>Tax!M62</f>
        <v>0</v>
      </c>
      <c r="O10" s="355">
        <f>Tax!N62</f>
        <v>0</v>
      </c>
      <c r="P10" s="355">
        <f>Tax!O62</f>
        <v>0</v>
      </c>
      <c r="Q10" s="355">
        <f>Tax!P62</f>
        <v>0</v>
      </c>
      <c r="R10" s="355">
        <f>Tax!Q62</f>
        <v>0</v>
      </c>
      <c r="S10" s="355">
        <f>Tax!R62</f>
        <v>0</v>
      </c>
      <c r="T10" s="355">
        <f>Tax!S62</f>
        <v>0</v>
      </c>
      <c r="U10" s="355">
        <f>Tax!T62</f>
        <v>0</v>
      </c>
      <c r="V10" s="355">
        <f>Tax!U62</f>
        <v>0</v>
      </c>
      <c r="W10" s="355">
        <f>Tax!V62</f>
        <v>0</v>
      </c>
      <c r="X10" s="355">
        <f>Tax!W62</f>
        <v>0</v>
      </c>
      <c r="Y10" s="355">
        <f>Tax!X62</f>
        <v>0</v>
      </c>
      <c r="Z10" s="355">
        <f>Tax!Y62</f>
        <v>0</v>
      </c>
      <c r="AA10" s="355">
        <f>Tax!Z62</f>
        <v>0</v>
      </c>
      <c r="AB10" s="355">
        <f>Tax!AA62</f>
        <v>0</v>
      </c>
      <c r="AC10" s="355">
        <f>Tax!AB62</f>
        <v>0</v>
      </c>
      <c r="AD10" s="355">
        <f>Tax!AC62</f>
        <v>0</v>
      </c>
      <c r="AE10" s="355">
        <f>Tax!AD62</f>
        <v>0</v>
      </c>
      <c r="AF10" s="355">
        <f>Tax!AE62</f>
        <v>0</v>
      </c>
      <c r="AG10" s="355">
        <f>Tax!AF62</f>
        <v>0</v>
      </c>
    </row>
    <row r="11" spans="1:33" s="218" customFormat="1" ht="16.5" customHeight="1" x14ac:dyDescent="0.35">
      <c r="B11" s="251" t="s">
        <v>465</v>
      </c>
      <c r="C11" s="356">
        <f t="shared" ref="C11:AG11" si="1">C9-C10</f>
        <v>0</v>
      </c>
      <c r="D11" s="356">
        <f t="shared" si="1"/>
        <v>-14656996.359999999</v>
      </c>
      <c r="E11" s="356">
        <f t="shared" si="1"/>
        <v>-31388264.2756695</v>
      </c>
      <c r="F11" s="356">
        <f t="shared" si="1"/>
        <v>-13527340.355851742</v>
      </c>
      <c r="G11" s="356">
        <f t="shared" si="1"/>
        <v>-2808144.6116781868</v>
      </c>
      <c r="H11" s="356">
        <f t="shared" si="1"/>
        <v>-2801501.280170504</v>
      </c>
      <c r="I11" s="356">
        <f t="shared" si="1"/>
        <v>5239365.1726176199</v>
      </c>
      <c r="J11" s="356">
        <f t="shared" si="1"/>
        <v>13280110.048364703</v>
      </c>
      <c r="K11" s="356">
        <f t="shared" si="1"/>
        <v>13286388.413150113</v>
      </c>
      <c r="L11" s="356">
        <f t="shared" si="1"/>
        <v>13292527.094026016</v>
      </c>
      <c r="M11" s="356">
        <f t="shared" si="1"/>
        <v>13298516.675490987</v>
      </c>
      <c r="N11" s="356">
        <f t="shared" si="1"/>
        <v>13304347.495864065</v>
      </c>
      <c r="O11" s="356">
        <f t="shared" si="1"/>
        <v>13310009.643557623</v>
      </c>
      <c r="P11" s="356">
        <f t="shared" si="1"/>
        <v>13315492.953247597</v>
      </c>
      <c r="Q11" s="356">
        <f t="shared" si="1"/>
        <v>13320787.001939513</v>
      </c>
      <c r="R11" s="356">
        <f t="shared" si="1"/>
        <v>13325881.104928708</v>
      </c>
      <c r="S11" s="356">
        <f t="shared" si="1"/>
        <v>13330764.311653133</v>
      </c>
      <c r="T11" s="356">
        <f t="shared" si="1"/>
        <v>13335425.401437061</v>
      </c>
      <c r="U11" s="356">
        <f t="shared" si="1"/>
        <v>13339852.879123881</v>
      </c>
      <c r="V11" s="356">
        <f t="shared" si="1"/>
        <v>13344034.970596436</v>
      </c>
      <c r="W11" s="356">
        <f t="shared" si="1"/>
        <v>13347959.618182868</v>
      </c>
      <c r="X11" s="356">
        <f t="shared" si="1"/>
        <v>8089394.6605330305</v>
      </c>
      <c r="Y11" s="356">
        <f t="shared" si="1"/>
        <v>7996261.4643401103</v>
      </c>
      <c r="Z11" s="356">
        <f t="shared" si="1"/>
        <v>7902707.4875622354</v>
      </c>
      <c r="AA11" s="356">
        <f t="shared" si="1"/>
        <v>7808717.1077708807</v>
      </c>
      <c r="AB11" s="356">
        <f t="shared" si="1"/>
        <v>7714274.3912453847</v>
      </c>
      <c r="AC11" s="356">
        <f t="shared" si="1"/>
        <v>7619363.0875933357</v>
      </c>
      <c r="AD11" s="356">
        <f t="shared" si="1"/>
        <v>7523966.6242426066</v>
      </c>
      <c r="AE11" s="356">
        <f t="shared" si="1"/>
        <v>7428068.1008029254</v>
      </c>
      <c r="AF11" s="356">
        <f t="shared" si="1"/>
        <v>7331650.2832946535</v>
      </c>
      <c r="AG11" s="356">
        <f t="shared" si="1"/>
        <v>7234695.5982425502</v>
      </c>
    </row>
    <row r="12" spans="1:33" s="218" customFormat="1" ht="16.5" customHeight="1" x14ac:dyDescent="0.35">
      <c r="B12" s="278" t="s">
        <v>466</v>
      </c>
      <c r="C12" s="355">
        <f t="shared" ref="C12:AG12" si="2">MAX(C11*0.21,0)</f>
        <v>0</v>
      </c>
      <c r="D12" s="355">
        <f t="shared" si="2"/>
        <v>0</v>
      </c>
      <c r="E12" s="355">
        <f t="shared" si="2"/>
        <v>0</v>
      </c>
      <c r="F12" s="355">
        <f t="shared" si="2"/>
        <v>0</v>
      </c>
      <c r="G12" s="355">
        <f t="shared" si="2"/>
        <v>0</v>
      </c>
      <c r="H12" s="355">
        <f t="shared" si="2"/>
        <v>0</v>
      </c>
      <c r="I12" s="355">
        <f t="shared" si="2"/>
        <v>1100266.6862497001</v>
      </c>
      <c r="J12" s="355">
        <f t="shared" si="2"/>
        <v>2788823.1101565873</v>
      </c>
      <c r="K12" s="355">
        <f t="shared" si="2"/>
        <v>2790141.5667615235</v>
      </c>
      <c r="L12" s="355">
        <f t="shared" si="2"/>
        <v>2791430.6897454634</v>
      </c>
      <c r="M12" s="355">
        <f t="shared" si="2"/>
        <v>2792688.501853107</v>
      </c>
      <c r="N12" s="355">
        <f t="shared" si="2"/>
        <v>2793912.9741314538</v>
      </c>
      <c r="O12" s="355">
        <f t="shared" si="2"/>
        <v>2795102.0251471009</v>
      </c>
      <c r="P12" s="355">
        <f t="shared" si="2"/>
        <v>2796253.5201819954</v>
      </c>
      <c r="Q12" s="355">
        <f t="shared" si="2"/>
        <v>2797365.2704072976</v>
      </c>
      <c r="R12" s="355">
        <f t="shared" si="2"/>
        <v>2798435.0320350286</v>
      </c>
      <c r="S12" s="355">
        <f t="shared" si="2"/>
        <v>2799460.5054471581</v>
      </c>
      <c r="T12" s="355">
        <f t="shared" si="2"/>
        <v>2800439.3343017828</v>
      </c>
      <c r="U12" s="355">
        <f t="shared" si="2"/>
        <v>2801369.1046160152</v>
      </c>
      <c r="V12" s="355">
        <f t="shared" si="2"/>
        <v>2802247.3438252513</v>
      </c>
      <c r="W12" s="355">
        <f t="shared" si="2"/>
        <v>2803071.5198184019</v>
      </c>
      <c r="X12" s="355">
        <f t="shared" si="2"/>
        <v>1698772.8787119363</v>
      </c>
      <c r="Y12" s="355">
        <f t="shared" si="2"/>
        <v>1679214.9075114231</v>
      </c>
      <c r="Z12" s="355">
        <f t="shared" si="2"/>
        <v>1659568.5723880695</v>
      </c>
      <c r="AA12" s="355">
        <f t="shared" si="2"/>
        <v>1639830.5926318849</v>
      </c>
      <c r="AB12" s="355">
        <f t="shared" si="2"/>
        <v>1619997.6221615307</v>
      </c>
      <c r="AC12" s="355">
        <f t="shared" si="2"/>
        <v>1600066.2483946003</v>
      </c>
      <c r="AD12" s="355">
        <f t="shared" si="2"/>
        <v>1580032.9910909473</v>
      </c>
      <c r="AE12" s="355">
        <f t="shared" si="2"/>
        <v>1559894.3011686143</v>
      </c>
      <c r="AF12" s="355">
        <f t="shared" si="2"/>
        <v>1539646.5594918772</v>
      </c>
      <c r="AG12" s="355">
        <f t="shared" si="2"/>
        <v>1519286.0756309354</v>
      </c>
    </row>
    <row r="13" spans="1:33" s="218" customFormat="1" ht="16.5" customHeight="1" x14ac:dyDescent="0.35">
      <c r="B13" s="251" t="s">
        <v>410</v>
      </c>
      <c r="C13" s="356">
        <v>0</v>
      </c>
      <c r="D13" s="356">
        <f>Tax!C62</f>
        <v>27897000</v>
      </c>
      <c r="E13" s="356">
        <f>Tax!D62</f>
        <v>44635200</v>
      </c>
      <c r="F13" s="356">
        <f>Tax!E62</f>
        <v>26781120</v>
      </c>
      <c r="G13" s="356">
        <f>Tax!F62</f>
        <v>16068672</v>
      </c>
      <c r="H13" s="356">
        <f>Tax!G62</f>
        <v>16068672</v>
      </c>
      <c r="I13" s="356">
        <f>Tax!H62</f>
        <v>8034336</v>
      </c>
      <c r="J13" s="356">
        <f>Tax!I62</f>
        <v>0</v>
      </c>
      <c r="K13" s="356">
        <f>Tax!J62</f>
        <v>0</v>
      </c>
      <c r="L13" s="356">
        <f>Tax!K62</f>
        <v>0</v>
      </c>
      <c r="M13" s="356">
        <f>Tax!L62</f>
        <v>0</v>
      </c>
      <c r="N13" s="356">
        <f>Tax!M62</f>
        <v>0</v>
      </c>
      <c r="O13" s="356">
        <f>Tax!N62</f>
        <v>0</v>
      </c>
      <c r="P13" s="356">
        <f>Tax!O62</f>
        <v>0</v>
      </c>
      <c r="Q13" s="356">
        <f>Tax!P62</f>
        <v>0</v>
      </c>
      <c r="R13" s="356">
        <f>Tax!Q62</f>
        <v>0</v>
      </c>
      <c r="S13" s="356">
        <f>Tax!R62</f>
        <v>0</v>
      </c>
      <c r="T13" s="356">
        <f>Tax!S62</f>
        <v>0</v>
      </c>
      <c r="U13" s="356">
        <f>Tax!T62</f>
        <v>0</v>
      </c>
      <c r="V13" s="356">
        <f>Tax!U62</f>
        <v>0</v>
      </c>
      <c r="W13" s="356">
        <f>Tax!V62</f>
        <v>0</v>
      </c>
      <c r="X13" s="356">
        <f>Tax!W62</f>
        <v>0</v>
      </c>
      <c r="Y13" s="356">
        <f>Tax!X62</f>
        <v>0</v>
      </c>
      <c r="Z13" s="356">
        <f>Tax!Y62</f>
        <v>0</v>
      </c>
      <c r="AA13" s="356">
        <f>Tax!Z62</f>
        <v>0</v>
      </c>
      <c r="AB13" s="356">
        <f>Tax!AA62</f>
        <v>0</v>
      </c>
      <c r="AC13" s="356">
        <f>Tax!AB62</f>
        <v>0</v>
      </c>
      <c r="AD13" s="356">
        <f>Tax!AC62</f>
        <v>0</v>
      </c>
      <c r="AE13" s="356">
        <f>Tax!AD62</f>
        <v>0</v>
      </c>
      <c r="AF13" s="356">
        <f>Tax!AE62</f>
        <v>0</v>
      </c>
      <c r="AG13" s="356">
        <f>Tax!AF62</f>
        <v>0</v>
      </c>
    </row>
    <row r="14" spans="1:33" s="218" customFormat="1" ht="18" customHeight="1" x14ac:dyDescent="0.35">
      <c r="B14" s="351" t="s">
        <v>467</v>
      </c>
      <c r="C14" s="367">
        <f t="shared" ref="C14:AG14" si="3">C9-C12</f>
        <v>0</v>
      </c>
      <c r="D14" s="367">
        <f t="shared" si="3"/>
        <v>13240003.640000001</v>
      </c>
      <c r="E14" s="367">
        <f t="shared" si="3"/>
        <v>13246935.7243305</v>
      </c>
      <c r="F14" s="367">
        <f t="shared" si="3"/>
        <v>13253779.644148258</v>
      </c>
      <c r="G14" s="367">
        <f t="shared" si="3"/>
        <v>13260527.388321813</v>
      </c>
      <c r="H14" s="367">
        <f t="shared" si="3"/>
        <v>13267170.719829496</v>
      </c>
      <c r="I14" s="367">
        <f t="shared" si="3"/>
        <v>12173434.48636792</v>
      </c>
      <c r="J14" s="367">
        <f t="shared" si="3"/>
        <v>10491286.938208114</v>
      </c>
      <c r="K14" s="367">
        <f t="shared" si="3"/>
        <v>10496246.84638859</v>
      </c>
      <c r="L14" s="367">
        <f t="shared" si="3"/>
        <v>10501096.404280553</v>
      </c>
      <c r="M14" s="367">
        <f t="shared" si="3"/>
        <v>10505828.17363788</v>
      </c>
      <c r="N14" s="367">
        <f t="shared" si="3"/>
        <v>10510434.521732612</v>
      </c>
      <c r="O14" s="367">
        <f t="shared" si="3"/>
        <v>10514907.618410522</v>
      </c>
      <c r="P14" s="367">
        <f t="shared" si="3"/>
        <v>10519239.433065603</v>
      </c>
      <c r="Q14" s="367">
        <f t="shared" si="3"/>
        <v>10523421.731532216</v>
      </c>
      <c r="R14" s="367">
        <f t="shared" si="3"/>
        <v>10527446.072893679</v>
      </c>
      <c r="S14" s="367">
        <f t="shared" si="3"/>
        <v>10531303.806205975</v>
      </c>
      <c r="T14" s="367">
        <f t="shared" si="3"/>
        <v>10534986.067135278</v>
      </c>
      <c r="U14" s="367">
        <f t="shared" si="3"/>
        <v>10538483.774507865</v>
      </c>
      <c r="V14" s="367">
        <f t="shared" si="3"/>
        <v>10541787.626771186</v>
      </c>
      <c r="W14" s="367">
        <f t="shared" si="3"/>
        <v>10544888.098364465</v>
      </c>
      <c r="X14" s="367">
        <f t="shared" si="3"/>
        <v>6390621.7818210945</v>
      </c>
      <c r="Y14" s="367">
        <f t="shared" si="3"/>
        <v>6317046.556828687</v>
      </c>
      <c r="Z14" s="367">
        <f t="shared" si="3"/>
        <v>6243138.9151741657</v>
      </c>
      <c r="AA14" s="367">
        <f t="shared" si="3"/>
        <v>6168886.5151389958</v>
      </c>
      <c r="AB14" s="367">
        <f t="shared" si="3"/>
        <v>6094276.7690838538</v>
      </c>
      <c r="AC14" s="367">
        <f t="shared" si="3"/>
        <v>6019296.8391987355</v>
      </c>
      <c r="AD14" s="367">
        <f t="shared" si="3"/>
        <v>5943933.6331516597</v>
      </c>
      <c r="AE14" s="367">
        <f t="shared" si="3"/>
        <v>5868173.7996343113</v>
      </c>
      <c r="AF14" s="367">
        <f t="shared" si="3"/>
        <v>5792003.7238027761</v>
      </c>
      <c r="AG14" s="367">
        <f t="shared" si="3"/>
        <v>5715409.5226116143</v>
      </c>
    </row>
    <row r="15" spans="1:33" s="218" customFormat="1" ht="18" customHeight="1" x14ac:dyDescent="0.35">
      <c r="B15" s="361" t="s">
        <v>468</v>
      </c>
      <c r="C15" s="373">
        <f>C5</f>
        <v>-126562250</v>
      </c>
      <c r="D15" s="374">
        <f t="shared" ref="D15:AG15" si="4">D14</f>
        <v>13240003.640000001</v>
      </c>
      <c r="E15" s="374">
        <f t="shared" si="4"/>
        <v>13246935.7243305</v>
      </c>
      <c r="F15" s="374">
        <f t="shared" si="4"/>
        <v>13253779.644148258</v>
      </c>
      <c r="G15" s="374">
        <f t="shared" si="4"/>
        <v>13260527.388321813</v>
      </c>
      <c r="H15" s="374">
        <f t="shared" si="4"/>
        <v>13267170.719829496</v>
      </c>
      <c r="I15" s="374">
        <f t="shared" si="4"/>
        <v>12173434.48636792</v>
      </c>
      <c r="J15" s="374">
        <f t="shared" si="4"/>
        <v>10491286.938208114</v>
      </c>
      <c r="K15" s="374">
        <f t="shared" si="4"/>
        <v>10496246.84638859</v>
      </c>
      <c r="L15" s="374">
        <f t="shared" si="4"/>
        <v>10501096.404280553</v>
      </c>
      <c r="M15" s="374">
        <f t="shared" si="4"/>
        <v>10505828.17363788</v>
      </c>
      <c r="N15" s="374">
        <f t="shared" si="4"/>
        <v>10510434.521732612</v>
      </c>
      <c r="O15" s="374">
        <f t="shared" si="4"/>
        <v>10514907.618410522</v>
      </c>
      <c r="P15" s="374">
        <f t="shared" si="4"/>
        <v>10519239.433065603</v>
      </c>
      <c r="Q15" s="374">
        <f t="shared" si="4"/>
        <v>10523421.731532216</v>
      </c>
      <c r="R15" s="374">
        <f t="shared" si="4"/>
        <v>10527446.072893679</v>
      </c>
      <c r="S15" s="374">
        <f t="shared" si="4"/>
        <v>10531303.806205975</v>
      </c>
      <c r="T15" s="374">
        <f t="shared" si="4"/>
        <v>10534986.067135278</v>
      </c>
      <c r="U15" s="374">
        <f t="shared" si="4"/>
        <v>10538483.774507865</v>
      </c>
      <c r="V15" s="374">
        <f t="shared" si="4"/>
        <v>10541787.626771186</v>
      </c>
      <c r="W15" s="374">
        <f t="shared" si="4"/>
        <v>10544888.098364465</v>
      </c>
      <c r="X15" s="374">
        <f t="shared" si="4"/>
        <v>6390621.7818210945</v>
      </c>
      <c r="Y15" s="374">
        <f t="shared" si="4"/>
        <v>6317046.556828687</v>
      </c>
      <c r="Z15" s="374">
        <f t="shared" si="4"/>
        <v>6243138.9151741657</v>
      </c>
      <c r="AA15" s="374">
        <f t="shared" si="4"/>
        <v>6168886.5151389958</v>
      </c>
      <c r="AB15" s="374">
        <f t="shared" si="4"/>
        <v>6094276.7690838538</v>
      </c>
      <c r="AC15" s="374">
        <f t="shared" si="4"/>
        <v>6019296.8391987355</v>
      </c>
      <c r="AD15" s="374">
        <f t="shared" si="4"/>
        <v>5943933.6331516597</v>
      </c>
      <c r="AE15" s="374">
        <f t="shared" si="4"/>
        <v>5868173.7996343113</v>
      </c>
      <c r="AF15" s="374">
        <f t="shared" si="4"/>
        <v>5792003.7238027761</v>
      </c>
      <c r="AG15" s="374">
        <f t="shared" si="4"/>
        <v>5715409.5226116143</v>
      </c>
    </row>
    <row r="16" spans="1:33" ht="19.5" customHeight="1" x14ac:dyDescent="0.35">
      <c r="B16" s="379" t="s">
        <v>469</v>
      </c>
      <c r="C16" s="380">
        <f>IRR(C15:AG15)</f>
        <v>7.749320138645488E-2</v>
      </c>
      <c r="D16" s="201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</row>
    <row r="17" spans="1:33" ht="16.5" customHeight="1" x14ac:dyDescent="0.35">
      <c r="B17" s="319" t="s">
        <v>470</v>
      </c>
      <c r="C17" s="357">
        <f>NPV(Inputs!$D$70,Cashflows!D15:AG15)+Cashflows!C15</f>
        <v>8233492.1253400743</v>
      </c>
      <c r="D17" s="152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</row>
    <row r="18" spans="1:33" ht="16.5" customHeight="1" x14ac:dyDescent="0.35">
      <c r="B18" s="142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</row>
    <row r="19" spans="1:33" ht="16.5" customHeight="1" x14ac:dyDescent="0.35"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</row>
    <row r="20" spans="1:33" ht="16.5" customHeight="1" x14ac:dyDescent="0.35">
      <c r="A20" s="1" t="s">
        <v>471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8" customHeight="1" x14ac:dyDescent="0.35">
      <c r="A21" s="144"/>
      <c r="B21" s="317" t="s">
        <v>303</v>
      </c>
      <c r="C21" s="317">
        <v>0</v>
      </c>
      <c r="D21" s="317">
        <v>1</v>
      </c>
      <c r="E21" s="317">
        <v>2</v>
      </c>
      <c r="F21" s="317">
        <v>3</v>
      </c>
      <c r="G21" s="317">
        <v>4</v>
      </c>
      <c r="H21" s="317">
        <v>5</v>
      </c>
      <c r="I21" s="317">
        <v>6</v>
      </c>
      <c r="J21" s="317">
        <v>7</v>
      </c>
      <c r="K21" s="317">
        <v>8</v>
      </c>
      <c r="L21" s="317">
        <v>9</v>
      </c>
      <c r="M21" s="317">
        <v>10</v>
      </c>
      <c r="N21" s="317">
        <v>11</v>
      </c>
      <c r="O21" s="317">
        <v>12</v>
      </c>
      <c r="P21" s="317">
        <v>13</v>
      </c>
      <c r="Q21" s="317">
        <v>14</v>
      </c>
      <c r="R21" s="317">
        <v>15</v>
      </c>
      <c r="S21" s="317">
        <v>16</v>
      </c>
      <c r="T21" s="317">
        <v>17</v>
      </c>
      <c r="U21" s="317">
        <v>18</v>
      </c>
      <c r="V21" s="317">
        <v>19</v>
      </c>
      <c r="W21" s="317">
        <v>20</v>
      </c>
      <c r="X21" s="317">
        <v>21</v>
      </c>
      <c r="Y21" s="317">
        <v>22</v>
      </c>
      <c r="Z21" s="317">
        <v>23</v>
      </c>
      <c r="AA21" s="317">
        <v>24</v>
      </c>
      <c r="AB21" s="317">
        <v>25</v>
      </c>
      <c r="AC21" s="317">
        <v>26</v>
      </c>
      <c r="AD21" s="317">
        <v>27</v>
      </c>
      <c r="AE21" s="317">
        <v>28</v>
      </c>
      <c r="AF21" s="317">
        <v>29</v>
      </c>
      <c r="AG21" s="317">
        <v>30</v>
      </c>
    </row>
    <row r="22" spans="1:33" s="218" customFormat="1" ht="18" customHeight="1" x14ac:dyDescent="0.35">
      <c r="B22" s="358" t="s">
        <v>367</v>
      </c>
      <c r="C22" s="359">
        <f>Debt!C16*-1</f>
        <v>-44145060.998924971</v>
      </c>
      <c r="D22" s="359">
        <v>0</v>
      </c>
      <c r="E22" s="359">
        <v>0</v>
      </c>
      <c r="F22" s="359">
        <v>0</v>
      </c>
      <c r="G22" s="359">
        <v>0</v>
      </c>
      <c r="H22" s="359">
        <v>0</v>
      </c>
      <c r="I22" s="359">
        <v>0</v>
      </c>
      <c r="J22" s="359">
        <v>0</v>
      </c>
      <c r="K22" s="359">
        <v>0</v>
      </c>
      <c r="L22" s="359">
        <v>0</v>
      </c>
      <c r="M22" s="359">
        <v>0</v>
      </c>
      <c r="N22" s="359">
        <v>0</v>
      </c>
      <c r="O22" s="359">
        <v>0</v>
      </c>
      <c r="P22" s="359">
        <v>0</v>
      </c>
      <c r="Q22" s="359">
        <v>0</v>
      </c>
      <c r="R22" s="359">
        <v>0</v>
      </c>
      <c r="S22" s="359">
        <v>0</v>
      </c>
      <c r="T22" s="359">
        <v>0</v>
      </c>
      <c r="U22" s="359">
        <v>0</v>
      </c>
      <c r="V22" s="359">
        <v>0</v>
      </c>
      <c r="W22" s="359">
        <v>0</v>
      </c>
      <c r="X22" s="359">
        <v>0</v>
      </c>
      <c r="Y22" s="359">
        <v>0</v>
      </c>
      <c r="Z22" s="359">
        <v>0</v>
      </c>
      <c r="AA22" s="359">
        <v>0</v>
      </c>
      <c r="AB22" s="359">
        <v>0</v>
      </c>
      <c r="AC22" s="359">
        <v>0</v>
      </c>
      <c r="AD22" s="359">
        <v>0</v>
      </c>
      <c r="AE22" s="359">
        <v>0</v>
      </c>
      <c r="AF22" s="359">
        <v>0</v>
      </c>
      <c r="AG22" s="359">
        <v>0</v>
      </c>
    </row>
    <row r="23" spans="1:33" s="218" customFormat="1" ht="16.5" customHeight="1" x14ac:dyDescent="0.35">
      <c r="B23" s="251" t="s">
        <v>404</v>
      </c>
      <c r="C23" s="356">
        <v>0</v>
      </c>
      <c r="D23" s="356">
        <f>Revenue!C50</f>
        <v>17720253.640000001</v>
      </c>
      <c r="E23" s="356">
        <f>Revenue!D50</f>
        <v>17816790.7243305</v>
      </c>
      <c r="F23" s="356">
        <f>Revenue!E50</f>
        <v>17915031.744148258</v>
      </c>
      <c r="G23" s="356">
        <f>Revenue!F50</f>
        <v>18015004.530321814</v>
      </c>
      <c r="H23" s="356">
        <f>Revenue!G50</f>
        <v>18116737.404669497</v>
      </c>
      <c r="I23" s="356">
        <f>Revenue!H50</f>
        <v>18220259.19115442</v>
      </c>
      <c r="J23" s="356">
        <f>Revenue!I50</f>
        <v>18325599.227272239</v>
      </c>
      <c r="K23" s="356">
        <f>Revenue!J50</f>
        <v>18432787.375635799</v>
      </c>
      <c r="L23" s="356">
        <f>Revenue!K50</f>
        <v>18541854.035761416</v>
      </c>
      <c r="M23" s="356">
        <f>Revenue!L50</f>
        <v>18652830.156061094</v>
      </c>
      <c r="N23" s="356">
        <f>Revenue!M50</f>
        <v>18765747.246045575</v>
      </c>
      <c r="O23" s="356">
        <f>Revenue!N50</f>
        <v>18880637.388742764</v>
      </c>
      <c r="P23" s="356">
        <f>Revenue!O50</f>
        <v>18997533.253336441</v>
      </c>
      <c r="Q23" s="356">
        <f>Revenue!P50</f>
        <v>19116468.108030133</v>
      </c>
      <c r="R23" s="356">
        <f>Revenue!Q50</f>
        <v>19237475.833141141</v>
      </c>
      <c r="S23" s="356">
        <f>Revenue!R50</f>
        <v>19360590.934429813</v>
      </c>
      <c r="T23" s="356">
        <f>Revenue!S50</f>
        <v>19485848.556669276</v>
      </c>
      <c r="U23" s="356">
        <f>Revenue!T50</f>
        <v>19613284.497460742</v>
      </c>
      <c r="V23" s="356">
        <f>Revenue!U50</f>
        <v>19742935.221300032</v>
      </c>
      <c r="W23" s="356">
        <f>Revenue!V50</f>
        <v>19874837.873900536</v>
      </c>
      <c r="X23" s="356">
        <f>Revenue!W50</f>
        <v>14746810.481365051</v>
      </c>
      <c r="Y23" s="356">
        <f>Revenue!X50</f>
        <v>14786825.601588773</v>
      </c>
      <c r="Z23" s="356">
        <f>Revenue!Y50</f>
        <v>14829082.907555871</v>
      </c>
      <c r="AA23" s="356">
        <f>Revenue!Z50</f>
        <v>14873620.036164388</v>
      </c>
      <c r="AB23" s="356">
        <f>Revenue!AA50</f>
        <v>14920475.378206762</v>
      </c>
      <c r="AC23" s="356">
        <f>Revenue!AB50</f>
        <v>14969688.094293939</v>
      </c>
      <c r="AD23" s="356">
        <f>Revenue!AC50</f>
        <v>15021298.131077224</v>
      </c>
      <c r="AE23" s="356">
        <f>Revenue!AD50</f>
        <v>15075346.237774234</v>
      </c>
      <c r="AF23" s="356">
        <f>Revenue!AE50</f>
        <v>15131873.98300539</v>
      </c>
      <c r="AG23" s="356">
        <f>Revenue!AF50</f>
        <v>15190923.771947499</v>
      </c>
    </row>
    <row r="24" spans="1:33" s="218" customFormat="1" ht="16.5" customHeight="1" x14ac:dyDescent="0.35">
      <c r="B24" s="278" t="s">
        <v>382</v>
      </c>
      <c r="C24" s="355">
        <v>0</v>
      </c>
      <c r="D24" s="355">
        <f>Costs!C25</f>
        <v>4480250</v>
      </c>
      <c r="E24" s="355">
        <f>Costs!D25</f>
        <v>4569855</v>
      </c>
      <c r="F24" s="355">
        <f>Costs!E25</f>
        <v>4661252.0999999996</v>
      </c>
      <c r="G24" s="355">
        <f>Costs!F25</f>
        <v>4754477.142</v>
      </c>
      <c r="H24" s="355">
        <f>Costs!G25</f>
        <v>4849566.6848400002</v>
      </c>
      <c r="I24" s="355">
        <f>Costs!H25</f>
        <v>4946558.0185368005</v>
      </c>
      <c r="J24" s="355">
        <f>Costs!I25</f>
        <v>5045489.178907536</v>
      </c>
      <c r="K24" s="355">
        <f>Costs!J25</f>
        <v>5146398.9624856859</v>
      </c>
      <c r="L24" s="355">
        <f>Costs!K25</f>
        <v>5249326.9417353999</v>
      </c>
      <c r="M24" s="355">
        <f>Costs!L25</f>
        <v>5354313.4805701086</v>
      </c>
      <c r="N24" s="355">
        <f>Costs!M25</f>
        <v>5461399.7501815092</v>
      </c>
      <c r="O24" s="355">
        <f>Costs!N25</f>
        <v>5570627.7451851396</v>
      </c>
      <c r="P24" s="355">
        <f>Costs!O25</f>
        <v>5682040.3000888433</v>
      </c>
      <c r="Q24" s="355">
        <f>Costs!P25</f>
        <v>5795681.1060906202</v>
      </c>
      <c r="R24" s="355">
        <f>Costs!Q25</f>
        <v>5911594.7282124329</v>
      </c>
      <c r="S24" s="355">
        <f>Costs!R25</f>
        <v>6029826.6227766797</v>
      </c>
      <c r="T24" s="355">
        <f>Costs!S25</f>
        <v>6150423.1552322153</v>
      </c>
      <c r="U24" s="355">
        <f>Costs!T25</f>
        <v>6273431.6183368601</v>
      </c>
      <c r="V24" s="355">
        <f>Costs!U25</f>
        <v>6398900.2507035965</v>
      </c>
      <c r="W24" s="355">
        <f>Costs!V25</f>
        <v>6526878.2557176678</v>
      </c>
      <c r="X24" s="355">
        <f>Costs!W25</f>
        <v>6657415.8208320206</v>
      </c>
      <c r="Y24" s="355">
        <f>Costs!X25</f>
        <v>6790564.1372486623</v>
      </c>
      <c r="Z24" s="355">
        <f>Costs!Y25</f>
        <v>6926375.4199936353</v>
      </c>
      <c r="AA24" s="355">
        <f>Costs!Z25</f>
        <v>7064902.9283935074</v>
      </c>
      <c r="AB24" s="355">
        <f>Costs!AA25</f>
        <v>7206200.9869613769</v>
      </c>
      <c r="AC24" s="355">
        <f>Costs!AB25</f>
        <v>7350325.0067006033</v>
      </c>
      <c r="AD24" s="355">
        <f>Costs!AC25</f>
        <v>7497331.5068346178</v>
      </c>
      <c r="AE24" s="355">
        <f>Costs!AD25</f>
        <v>7647278.1369713088</v>
      </c>
      <c r="AF24" s="355">
        <f>Costs!AE25</f>
        <v>7800223.6997107361</v>
      </c>
      <c r="AG24" s="355">
        <f>Costs!AF25</f>
        <v>7956228.1737049492</v>
      </c>
    </row>
    <row r="25" spans="1:33" s="218" customFormat="1" ht="16.5" customHeight="1" x14ac:dyDescent="0.35">
      <c r="B25" s="251" t="s">
        <v>405</v>
      </c>
      <c r="C25" s="356">
        <f t="shared" ref="C25:AG25" si="5">C23-C24</f>
        <v>0</v>
      </c>
      <c r="D25" s="356">
        <f t="shared" si="5"/>
        <v>13240003.640000001</v>
      </c>
      <c r="E25" s="356">
        <f t="shared" si="5"/>
        <v>13246935.7243305</v>
      </c>
      <c r="F25" s="356">
        <f t="shared" si="5"/>
        <v>13253779.644148258</v>
      </c>
      <c r="G25" s="356">
        <f t="shared" si="5"/>
        <v>13260527.388321813</v>
      </c>
      <c r="H25" s="356">
        <f t="shared" si="5"/>
        <v>13267170.719829496</v>
      </c>
      <c r="I25" s="356">
        <f t="shared" si="5"/>
        <v>13273701.17261762</v>
      </c>
      <c r="J25" s="356">
        <f t="shared" si="5"/>
        <v>13280110.048364703</v>
      </c>
      <c r="K25" s="356">
        <f t="shared" si="5"/>
        <v>13286388.413150113</v>
      </c>
      <c r="L25" s="356">
        <f t="shared" si="5"/>
        <v>13292527.094026016</v>
      </c>
      <c r="M25" s="356">
        <f t="shared" si="5"/>
        <v>13298516.675490987</v>
      </c>
      <c r="N25" s="356">
        <f t="shared" si="5"/>
        <v>13304347.495864065</v>
      </c>
      <c r="O25" s="356">
        <f t="shared" si="5"/>
        <v>13310009.643557623</v>
      </c>
      <c r="P25" s="356">
        <f t="shared" si="5"/>
        <v>13315492.953247597</v>
      </c>
      <c r="Q25" s="356">
        <f t="shared" si="5"/>
        <v>13320787.001939513</v>
      </c>
      <c r="R25" s="356">
        <f t="shared" si="5"/>
        <v>13325881.104928708</v>
      </c>
      <c r="S25" s="356">
        <f t="shared" si="5"/>
        <v>13330764.311653133</v>
      </c>
      <c r="T25" s="356">
        <f t="shared" si="5"/>
        <v>13335425.401437061</v>
      </c>
      <c r="U25" s="356">
        <f t="shared" si="5"/>
        <v>13339852.879123881</v>
      </c>
      <c r="V25" s="356">
        <f t="shared" si="5"/>
        <v>13344034.970596436</v>
      </c>
      <c r="W25" s="356">
        <f t="shared" si="5"/>
        <v>13347959.618182868</v>
      </c>
      <c r="X25" s="356">
        <f t="shared" si="5"/>
        <v>8089394.6605330305</v>
      </c>
      <c r="Y25" s="356">
        <f t="shared" si="5"/>
        <v>7996261.4643401103</v>
      </c>
      <c r="Z25" s="356">
        <f t="shared" si="5"/>
        <v>7902707.4875622354</v>
      </c>
      <c r="AA25" s="356">
        <f t="shared" si="5"/>
        <v>7808717.1077708807</v>
      </c>
      <c r="AB25" s="356">
        <f t="shared" si="5"/>
        <v>7714274.3912453847</v>
      </c>
      <c r="AC25" s="356">
        <f t="shared" si="5"/>
        <v>7619363.0875933357</v>
      </c>
      <c r="AD25" s="356">
        <f t="shared" si="5"/>
        <v>7523966.6242426066</v>
      </c>
      <c r="AE25" s="356">
        <f t="shared" si="5"/>
        <v>7428068.1008029254</v>
      </c>
      <c r="AF25" s="356">
        <f t="shared" si="5"/>
        <v>7331650.2832946535</v>
      </c>
      <c r="AG25" s="356">
        <f t="shared" si="5"/>
        <v>7234695.5982425502</v>
      </c>
    </row>
    <row r="26" spans="1:33" s="218" customFormat="1" ht="16.5" customHeight="1" x14ac:dyDescent="0.35">
      <c r="B26" s="278" t="s">
        <v>406</v>
      </c>
      <c r="C26" s="355">
        <v>0</v>
      </c>
      <c r="D26" s="355">
        <f>Debt!C23</f>
        <v>5769203.2300752522</v>
      </c>
      <c r="E26" s="355">
        <f>Debt!D23</f>
        <v>5599515.9535829136</v>
      </c>
      <c r="F26" s="355">
        <f>Debt!E23</f>
        <v>5417950.5677361107</v>
      </c>
      <c r="G26" s="355">
        <f>Debt!F23</f>
        <v>5223675.6048800331</v>
      </c>
      <c r="H26" s="355">
        <f>Debt!G23</f>
        <v>5015801.3946240284</v>
      </c>
      <c r="I26" s="355">
        <f>Debt!H23</f>
        <v>4793375.9896501033</v>
      </c>
      <c r="J26" s="355">
        <f>Debt!I23</f>
        <v>4555380.8063280042</v>
      </c>
      <c r="K26" s="355">
        <f>Debt!J23</f>
        <v>4300725.9601733582</v>
      </c>
      <c r="L26" s="355">
        <f>Debt!K23</f>
        <v>4028245.274787887</v>
      </c>
      <c r="M26" s="355">
        <f>Debt!L23</f>
        <v>3736690.9414254325</v>
      </c>
      <c r="N26" s="355">
        <f>Debt!M23</f>
        <v>3424727.804727606</v>
      </c>
      <c r="O26" s="355">
        <f>Debt!N23</f>
        <v>3090927.2484609322</v>
      </c>
      <c r="P26" s="355">
        <f>Debt!O23</f>
        <v>2733760.6532555907</v>
      </c>
      <c r="Q26" s="355">
        <f>Debt!P23</f>
        <v>2351592.3963858751</v>
      </c>
      <c r="R26" s="355">
        <f>Debt!Q23</f>
        <v>1942672.36153528</v>
      </c>
      <c r="S26" s="355">
        <f>Debt!R23</f>
        <v>1505127.9242451431</v>
      </c>
      <c r="T26" s="355">
        <f>Debt!S23</f>
        <v>1036955.3763446966</v>
      </c>
      <c r="U26" s="355">
        <f>Debt!T23</f>
        <v>536010.75009121886</v>
      </c>
      <c r="V26" s="355">
        <f>Debt!U23</f>
        <v>-2.3469328880310063E-9</v>
      </c>
      <c r="W26" s="355">
        <f>Debt!V23</f>
        <v>-2.5112181901931768E-9</v>
      </c>
      <c r="X26" s="355">
        <f>Debt!W23</f>
        <v>-2.6870034635066995E-9</v>
      </c>
      <c r="Y26" s="355">
        <f>Debt!X23</f>
        <v>-2.8750937059521681E-9</v>
      </c>
      <c r="Z26" s="355">
        <f>Debt!Y23</f>
        <v>-3.0763502653688203E-9</v>
      </c>
      <c r="AA26" s="355">
        <f>Debt!Z23</f>
        <v>-3.2916947839446374E-9</v>
      </c>
      <c r="AB26" s="355">
        <f>Debt!AA23</f>
        <v>-3.5221134188207621E-9</v>
      </c>
      <c r="AC26" s="355">
        <f>Debt!AB23</f>
        <v>-3.7686613581382157E-9</v>
      </c>
      <c r="AD26" s="355">
        <f>Debt!AC23</f>
        <v>-4.0324676532078911E-9</v>
      </c>
      <c r="AE26" s="355">
        <f>Debt!AD23</f>
        <v>-4.3147403889324434E-9</v>
      </c>
      <c r="AF26" s="355">
        <f>Debt!AE23</f>
        <v>-4.6167722161577146E-9</v>
      </c>
      <c r="AG26" s="355">
        <f>Debt!AF23</f>
        <v>-4.9399462712887546E-9</v>
      </c>
    </row>
    <row r="27" spans="1:33" s="218" customFormat="1" ht="16.5" customHeight="1" x14ac:dyDescent="0.35">
      <c r="B27" s="251" t="s">
        <v>407</v>
      </c>
      <c r="C27" s="356">
        <v>0</v>
      </c>
      <c r="D27" s="356">
        <f>Tax!C62</f>
        <v>27897000</v>
      </c>
      <c r="E27" s="356">
        <f>Tax!D62</f>
        <v>44635200</v>
      </c>
      <c r="F27" s="356">
        <f>Tax!E62</f>
        <v>26781120</v>
      </c>
      <c r="G27" s="356">
        <f>Tax!F62</f>
        <v>16068672</v>
      </c>
      <c r="H27" s="356">
        <f>Tax!G62</f>
        <v>16068672</v>
      </c>
      <c r="I27" s="356">
        <f>Tax!H62</f>
        <v>8034336</v>
      </c>
      <c r="J27" s="356">
        <f>Tax!I62</f>
        <v>0</v>
      </c>
      <c r="K27" s="356">
        <f>Tax!J62</f>
        <v>0</v>
      </c>
      <c r="L27" s="356">
        <f>Tax!K62</f>
        <v>0</v>
      </c>
      <c r="M27" s="356">
        <f>Tax!L62</f>
        <v>0</v>
      </c>
      <c r="N27" s="356">
        <f>Tax!M62</f>
        <v>0</v>
      </c>
      <c r="O27" s="356">
        <f>Tax!N62</f>
        <v>0</v>
      </c>
      <c r="P27" s="356">
        <f>Tax!O62</f>
        <v>0</v>
      </c>
      <c r="Q27" s="356">
        <f>Tax!P62</f>
        <v>0</v>
      </c>
      <c r="R27" s="356">
        <f>Tax!Q62</f>
        <v>0</v>
      </c>
      <c r="S27" s="356">
        <f>Tax!R62</f>
        <v>0</v>
      </c>
      <c r="T27" s="356">
        <f>Tax!S62</f>
        <v>0</v>
      </c>
      <c r="U27" s="356">
        <f>Tax!T62</f>
        <v>0</v>
      </c>
      <c r="V27" s="356">
        <f>Tax!U62</f>
        <v>0</v>
      </c>
      <c r="W27" s="356">
        <f>Tax!V62</f>
        <v>0</v>
      </c>
      <c r="X27" s="356">
        <f>Tax!W62</f>
        <v>0</v>
      </c>
      <c r="Y27" s="356">
        <f>Tax!X62</f>
        <v>0</v>
      </c>
      <c r="Z27" s="356">
        <f>Tax!Y62</f>
        <v>0</v>
      </c>
      <c r="AA27" s="356">
        <f>Tax!Z62</f>
        <v>0</v>
      </c>
      <c r="AB27" s="356">
        <f>Tax!AA62</f>
        <v>0</v>
      </c>
      <c r="AC27" s="356">
        <f>Tax!AB62</f>
        <v>0</v>
      </c>
      <c r="AD27" s="356">
        <f>Tax!AC62</f>
        <v>0</v>
      </c>
      <c r="AE27" s="356">
        <f>Tax!AD62</f>
        <v>0</v>
      </c>
      <c r="AF27" s="356">
        <f>Tax!AE62</f>
        <v>0</v>
      </c>
      <c r="AG27" s="356">
        <f>Tax!AF62</f>
        <v>0</v>
      </c>
    </row>
    <row r="28" spans="1:33" s="218" customFormat="1" ht="16.5" customHeight="1" x14ac:dyDescent="0.35">
      <c r="B28" s="278" t="s">
        <v>472</v>
      </c>
      <c r="C28" s="355">
        <f t="shared" ref="C28:AG28" si="6">C25-C26-C27</f>
        <v>0</v>
      </c>
      <c r="D28" s="355">
        <f t="shared" si="6"/>
        <v>-20426199.590075251</v>
      </c>
      <c r="E28" s="355">
        <f t="shared" si="6"/>
        <v>-36987780.229252413</v>
      </c>
      <c r="F28" s="355">
        <f t="shared" si="6"/>
        <v>-18945290.923587851</v>
      </c>
      <c r="G28" s="355">
        <f t="shared" si="6"/>
        <v>-8031820.2165582199</v>
      </c>
      <c r="H28" s="355">
        <f t="shared" si="6"/>
        <v>-7817302.6747945324</v>
      </c>
      <c r="I28" s="355">
        <f t="shared" si="6"/>
        <v>445989.18296751752</v>
      </c>
      <c r="J28" s="355">
        <f t="shared" si="6"/>
        <v>8724729.2420366984</v>
      </c>
      <c r="K28" s="355">
        <f t="shared" si="6"/>
        <v>8985662.4529767558</v>
      </c>
      <c r="L28" s="355">
        <f t="shared" si="6"/>
        <v>9264281.81923813</v>
      </c>
      <c r="M28" s="355">
        <f t="shared" si="6"/>
        <v>9561825.734065555</v>
      </c>
      <c r="N28" s="355">
        <f t="shared" si="6"/>
        <v>9879619.6911364589</v>
      </c>
      <c r="O28" s="355">
        <f t="shared" si="6"/>
        <v>10219082.395096691</v>
      </c>
      <c r="P28" s="355">
        <f t="shared" si="6"/>
        <v>10581732.299992006</v>
      </c>
      <c r="Q28" s="355">
        <f t="shared" si="6"/>
        <v>10969194.605553638</v>
      </c>
      <c r="R28" s="355">
        <f t="shared" si="6"/>
        <v>11383208.743393429</v>
      </c>
      <c r="S28" s="355">
        <f t="shared" si="6"/>
        <v>11825636.38740799</v>
      </c>
      <c r="T28" s="355">
        <f t="shared" si="6"/>
        <v>12298470.025092363</v>
      </c>
      <c r="U28" s="355">
        <f t="shared" si="6"/>
        <v>12803842.129032662</v>
      </c>
      <c r="V28" s="355">
        <f t="shared" si="6"/>
        <v>13344034.970596438</v>
      </c>
      <c r="W28" s="355">
        <f t="shared" si="6"/>
        <v>13347959.61818287</v>
      </c>
      <c r="X28" s="355">
        <f t="shared" si="6"/>
        <v>8089394.6605330333</v>
      </c>
      <c r="Y28" s="355">
        <f t="shared" si="6"/>
        <v>7996261.4643401131</v>
      </c>
      <c r="Z28" s="355">
        <f t="shared" si="6"/>
        <v>7902707.4875622382</v>
      </c>
      <c r="AA28" s="355">
        <f t="shared" si="6"/>
        <v>7808717.1077708844</v>
      </c>
      <c r="AB28" s="355">
        <f t="shared" si="6"/>
        <v>7714274.3912453884</v>
      </c>
      <c r="AC28" s="355">
        <f t="shared" si="6"/>
        <v>7619363.0875933394</v>
      </c>
      <c r="AD28" s="355">
        <f t="shared" si="6"/>
        <v>7523966.6242426103</v>
      </c>
      <c r="AE28" s="355">
        <f t="shared" si="6"/>
        <v>7428068.1008029301</v>
      </c>
      <c r="AF28" s="355">
        <f t="shared" si="6"/>
        <v>7331650.2832946582</v>
      </c>
      <c r="AG28" s="355">
        <f t="shared" si="6"/>
        <v>7234695.5982425548</v>
      </c>
    </row>
    <row r="29" spans="1:33" s="218" customFormat="1" ht="16.5" customHeight="1" x14ac:dyDescent="0.35">
      <c r="B29" s="251" t="s">
        <v>473</v>
      </c>
      <c r="C29" s="356">
        <v>0</v>
      </c>
      <c r="D29" s="356">
        <f>Tax!C66</f>
        <v>0</v>
      </c>
      <c r="E29" s="356">
        <f>Tax!D66</f>
        <v>0</v>
      </c>
      <c r="F29" s="356">
        <f>Tax!E66</f>
        <v>0</v>
      </c>
      <c r="G29" s="356">
        <f>Tax!F66</f>
        <v>0</v>
      </c>
      <c r="H29" s="356">
        <f>Tax!G66</f>
        <v>0</v>
      </c>
      <c r="I29" s="356">
        <f>Tax!H66</f>
        <v>93657.728423178676</v>
      </c>
      <c r="J29" s="356">
        <f>Tax!I66</f>
        <v>1832193.1408277065</v>
      </c>
      <c r="K29" s="356">
        <f>Tax!J66</f>
        <v>1886989.1151251188</v>
      </c>
      <c r="L29" s="356">
        <f>Tax!K66</f>
        <v>1945499.1820400073</v>
      </c>
      <c r="M29" s="356">
        <f>Tax!L66</f>
        <v>2007983.4041537666</v>
      </c>
      <c r="N29" s="356">
        <f>Tax!M66</f>
        <v>2074720.1351386562</v>
      </c>
      <c r="O29" s="356">
        <f>Tax!N66</f>
        <v>2146007.3029703051</v>
      </c>
      <c r="P29" s="356">
        <f>Tax!O66</f>
        <v>2222163.7829983211</v>
      </c>
      <c r="Q29" s="356">
        <f>Tax!P66</f>
        <v>2303530.867166264</v>
      </c>
      <c r="R29" s="356">
        <f>Tax!Q66</f>
        <v>2390473.8361126198</v>
      </c>
      <c r="S29" s="356">
        <f>Tax!R66</f>
        <v>2483383.641355678</v>
      </c>
      <c r="T29" s="356">
        <f>Tax!S66</f>
        <v>2582678.7052693963</v>
      </c>
      <c r="U29" s="356">
        <f>Tax!T66</f>
        <v>2688806.847096859</v>
      </c>
      <c r="V29" s="356">
        <f>Tax!U66</f>
        <v>2802247.3438252518</v>
      </c>
      <c r="W29" s="356">
        <f>Tax!V66</f>
        <v>2803071.5198184024</v>
      </c>
      <c r="X29" s="356">
        <f>Tax!W66</f>
        <v>1698772.878711937</v>
      </c>
      <c r="Y29" s="356">
        <f>Tax!X66</f>
        <v>1679214.9075114236</v>
      </c>
      <c r="Z29" s="356">
        <f>Tax!Y66</f>
        <v>1659568.5723880699</v>
      </c>
      <c r="AA29" s="356">
        <f>Tax!Z66</f>
        <v>1639830.5926318855</v>
      </c>
      <c r="AB29" s="356">
        <f>Tax!AA66</f>
        <v>1619997.6221615316</v>
      </c>
      <c r="AC29" s="356">
        <f>Tax!AB66</f>
        <v>1600066.2483946013</v>
      </c>
      <c r="AD29" s="356">
        <f>Tax!AC66</f>
        <v>1580032.991090948</v>
      </c>
      <c r="AE29" s="356">
        <f>Tax!AD66</f>
        <v>1559894.3011686152</v>
      </c>
      <c r="AF29" s="356">
        <f>Tax!AE66</f>
        <v>1539646.5594918781</v>
      </c>
      <c r="AG29" s="356">
        <f>Tax!AF66</f>
        <v>1519286.0756309365</v>
      </c>
    </row>
    <row r="30" spans="1:33" s="218" customFormat="1" ht="16.5" customHeight="1" x14ac:dyDescent="0.35">
      <c r="B30" s="278" t="s">
        <v>474</v>
      </c>
      <c r="C30" s="355">
        <v>0</v>
      </c>
      <c r="D30" s="355">
        <f t="shared" ref="D30:AG30" si="7">D12-D29</f>
        <v>0</v>
      </c>
      <c r="E30" s="355">
        <f t="shared" si="7"/>
        <v>0</v>
      </c>
      <c r="F30" s="355">
        <f t="shared" si="7"/>
        <v>0</v>
      </c>
      <c r="G30" s="355">
        <f t="shared" si="7"/>
        <v>0</v>
      </c>
      <c r="H30" s="355">
        <f t="shared" si="7"/>
        <v>0</v>
      </c>
      <c r="I30" s="355">
        <f t="shared" si="7"/>
        <v>1006608.9578265215</v>
      </c>
      <c r="J30" s="355">
        <f t="shared" si="7"/>
        <v>956629.96932888078</v>
      </c>
      <c r="K30" s="355">
        <f t="shared" si="7"/>
        <v>903152.45163640473</v>
      </c>
      <c r="L30" s="355">
        <f t="shared" si="7"/>
        <v>845931.50770545611</v>
      </c>
      <c r="M30" s="355">
        <f t="shared" si="7"/>
        <v>784705.09769934043</v>
      </c>
      <c r="N30" s="355">
        <f t="shared" si="7"/>
        <v>719192.83899279754</v>
      </c>
      <c r="O30" s="355">
        <f t="shared" si="7"/>
        <v>649094.72217679583</v>
      </c>
      <c r="P30" s="355">
        <f t="shared" si="7"/>
        <v>574089.73718367424</v>
      </c>
      <c r="Q30" s="355">
        <f t="shared" si="7"/>
        <v>493834.40324103367</v>
      </c>
      <c r="R30" s="355">
        <f t="shared" si="7"/>
        <v>407961.19592240872</v>
      </c>
      <c r="S30" s="355">
        <f t="shared" si="7"/>
        <v>316076.86409148015</v>
      </c>
      <c r="T30" s="355">
        <f t="shared" si="7"/>
        <v>217760.62903238647</v>
      </c>
      <c r="U30" s="355">
        <f t="shared" si="7"/>
        <v>112562.25751915621</v>
      </c>
      <c r="V30" s="355">
        <f t="shared" si="7"/>
        <v>0</v>
      </c>
      <c r="W30" s="355">
        <f t="shared" si="7"/>
        <v>0</v>
      </c>
      <c r="X30" s="355">
        <f t="shared" si="7"/>
        <v>0</v>
      </c>
      <c r="Y30" s="355">
        <f t="shared" si="7"/>
        <v>0</v>
      </c>
      <c r="Z30" s="355">
        <f t="shared" si="7"/>
        <v>0</v>
      </c>
      <c r="AA30" s="355">
        <f t="shared" si="7"/>
        <v>0</v>
      </c>
      <c r="AB30" s="355">
        <f t="shared" si="7"/>
        <v>0</v>
      </c>
      <c r="AC30" s="355">
        <f t="shared" si="7"/>
        <v>0</v>
      </c>
      <c r="AD30" s="355">
        <f t="shared" si="7"/>
        <v>0</v>
      </c>
      <c r="AE30" s="355">
        <f t="shared" si="7"/>
        <v>0</v>
      </c>
      <c r="AF30" s="355">
        <f t="shared" si="7"/>
        <v>0</v>
      </c>
      <c r="AG30" s="355">
        <f t="shared" si="7"/>
        <v>0</v>
      </c>
    </row>
    <row r="31" spans="1:33" s="218" customFormat="1" ht="16.5" customHeight="1" x14ac:dyDescent="0.35">
      <c r="B31" s="251" t="s">
        <v>410</v>
      </c>
      <c r="C31" s="356">
        <v>0</v>
      </c>
      <c r="D31" s="356">
        <f>Tax!C62</f>
        <v>27897000</v>
      </c>
      <c r="E31" s="356">
        <f>Tax!D62</f>
        <v>44635200</v>
      </c>
      <c r="F31" s="356">
        <f>Tax!E62</f>
        <v>26781120</v>
      </c>
      <c r="G31" s="356">
        <f>Tax!F62</f>
        <v>16068672</v>
      </c>
      <c r="H31" s="356">
        <f>Tax!G62</f>
        <v>16068672</v>
      </c>
      <c r="I31" s="356">
        <f>Tax!H62</f>
        <v>8034336</v>
      </c>
      <c r="J31" s="356">
        <f>Tax!I62</f>
        <v>0</v>
      </c>
      <c r="K31" s="356">
        <f>Tax!J62</f>
        <v>0</v>
      </c>
      <c r="L31" s="356">
        <f>Tax!K62</f>
        <v>0</v>
      </c>
      <c r="M31" s="356">
        <f>Tax!L62</f>
        <v>0</v>
      </c>
      <c r="N31" s="356">
        <f>Tax!M62</f>
        <v>0</v>
      </c>
      <c r="O31" s="356">
        <f>Tax!N62</f>
        <v>0</v>
      </c>
      <c r="P31" s="356">
        <f>Tax!O62</f>
        <v>0</v>
      </c>
      <c r="Q31" s="356">
        <f>Tax!P62</f>
        <v>0</v>
      </c>
      <c r="R31" s="356">
        <f>Tax!Q62</f>
        <v>0</v>
      </c>
      <c r="S31" s="356">
        <f>Tax!R62</f>
        <v>0</v>
      </c>
      <c r="T31" s="356">
        <f>Tax!S62</f>
        <v>0</v>
      </c>
      <c r="U31" s="356">
        <f>Tax!T62</f>
        <v>0</v>
      </c>
      <c r="V31" s="356">
        <f>Tax!U62</f>
        <v>0</v>
      </c>
      <c r="W31" s="356">
        <f>Tax!V62</f>
        <v>0</v>
      </c>
      <c r="X31" s="356">
        <f>Tax!W62</f>
        <v>0</v>
      </c>
      <c r="Y31" s="356">
        <f>Tax!X62</f>
        <v>0</v>
      </c>
      <c r="Z31" s="356">
        <f>Tax!Y62</f>
        <v>0</v>
      </c>
      <c r="AA31" s="356">
        <f>Tax!Z62</f>
        <v>0</v>
      </c>
      <c r="AB31" s="356">
        <f>Tax!AA62</f>
        <v>0</v>
      </c>
      <c r="AC31" s="356">
        <f>Tax!AB62</f>
        <v>0</v>
      </c>
      <c r="AD31" s="356">
        <f>Tax!AC62</f>
        <v>0</v>
      </c>
      <c r="AE31" s="356">
        <f>Tax!AD62</f>
        <v>0</v>
      </c>
      <c r="AF31" s="356">
        <f>Tax!AE62</f>
        <v>0</v>
      </c>
      <c r="AG31" s="356">
        <f>Tax!AF62</f>
        <v>0</v>
      </c>
    </row>
    <row r="32" spans="1:33" s="218" customFormat="1" ht="18" customHeight="1" x14ac:dyDescent="0.35">
      <c r="B32" s="351" t="s">
        <v>411</v>
      </c>
      <c r="C32" s="367">
        <f t="shared" ref="C32:AG32" si="8">C25-C29</f>
        <v>0</v>
      </c>
      <c r="D32" s="367">
        <f t="shared" si="8"/>
        <v>13240003.640000001</v>
      </c>
      <c r="E32" s="367">
        <f t="shared" si="8"/>
        <v>13246935.7243305</v>
      </c>
      <c r="F32" s="367">
        <f t="shared" si="8"/>
        <v>13253779.644148258</v>
      </c>
      <c r="G32" s="367">
        <f t="shared" si="8"/>
        <v>13260527.388321813</v>
      </c>
      <c r="H32" s="367">
        <f t="shared" si="8"/>
        <v>13267170.719829496</v>
      </c>
      <c r="I32" s="367">
        <f t="shared" si="8"/>
        <v>13180043.444194442</v>
      </c>
      <c r="J32" s="367">
        <f t="shared" si="8"/>
        <v>11447916.907536997</v>
      </c>
      <c r="K32" s="367">
        <f t="shared" si="8"/>
        <v>11399399.298024993</v>
      </c>
      <c r="L32" s="367">
        <f t="shared" si="8"/>
        <v>11347027.911986008</v>
      </c>
      <c r="M32" s="367">
        <f t="shared" si="8"/>
        <v>11290533.27133722</v>
      </c>
      <c r="N32" s="367">
        <f t="shared" si="8"/>
        <v>11229627.360725408</v>
      </c>
      <c r="O32" s="367">
        <f t="shared" si="8"/>
        <v>11164002.340587318</v>
      </c>
      <c r="P32" s="367">
        <f t="shared" si="8"/>
        <v>11093329.170249276</v>
      </c>
      <c r="Q32" s="367">
        <f t="shared" si="8"/>
        <v>11017256.134773249</v>
      </c>
      <c r="R32" s="367">
        <f t="shared" si="8"/>
        <v>10935407.268816087</v>
      </c>
      <c r="S32" s="367">
        <f t="shared" si="8"/>
        <v>10847380.670297455</v>
      </c>
      <c r="T32" s="367">
        <f t="shared" si="8"/>
        <v>10752746.696167665</v>
      </c>
      <c r="U32" s="367">
        <f t="shared" si="8"/>
        <v>10651046.032027023</v>
      </c>
      <c r="V32" s="367">
        <f t="shared" si="8"/>
        <v>10541787.626771186</v>
      </c>
      <c r="W32" s="367">
        <f t="shared" si="8"/>
        <v>10544888.098364465</v>
      </c>
      <c r="X32" s="367">
        <f t="shared" si="8"/>
        <v>6390621.7818210935</v>
      </c>
      <c r="Y32" s="367">
        <f t="shared" si="8"/>
        <v>6317046.556828687</v>
      </c>
      <c r="Z32" s="367">
        <f t="shared" si="8"/>
        <v>6243138.9151741657</v>
      </c>
      <c r="AA32" s="367">
        <f t="shared" si="8"/>
        <v>6168886.5151389949</v>
      </c>
      <c r="AB32" s="367">
        <f t="shared" si="8"/>
        <v>6094276.7690838529</v>
      </c>
      <c r="AC32" s="367">
        <f t="shared" si="8"/>
        <v>6019296.8391987346</v>
      </c>
      <c r="AD32" s="367">
        <f t="shared" si="8"/>
        <v>5943933.6331516588</v>
      </c>
      <c r="AE32" s="367">
        <f t="shared" si="8"/>
        <v>5868173.7996343104</v>
      </c>
      <c r="AF32" s="367">
        <f t="shared" si="8"/>
        <v>5792003.7238027751</v>
      </c>
      <c r="AG32" s="367">
        <f t="shared" si="8"/>
        <v>5715409.5226116134</v>
      </c>
    </row>
    <row r="33" spans="1:33" s="218" customFormat="1" ht="16.5" customHeight="1" x14ac:dyDescent="0.35">
      <c r="B33" s="251" t="s">
        <v>78</v>
      </c>
      <c r="C33" s="356">
        <v>0</v>
      </c>
      <c r="D33" s="356">
        <f>Debt!C24</f>
        <v>8193307.1799658062</v>
      </c>
      <c r="E33" s="356">
        <f>Debt!D24</f>
        <v>8193307.1799658062</v>
      </c>
      <c r="F33" s="356">
        <f>Debt!E24</f>
        <v>8193307.1799658062</v>
      </c>
      <c r="G33" s="356">
        <f>Debt!F24</f>
        <v>8193307.1799658062</v>
      </c>
      <c r="H33" s="356">
        <f>Debt!G24</f>
        <v>8193307.1799658062</v>
      </c>
      <c r="I33" s="356">
        <f>Debt!H24</f>
        <v>8193307.1799658062</v>
      </c>
      <c r="J33" s="356">
        <f>Debt!I24</f>
        <v>8193307.1799658062</v>
      </c>
      <c r="K33" s="356">
        <f>Debt!J24</f>
        <v>8193307.1799658062</v>
      </c>
      <c r="L33" s="356">
        <f>Debt!K24</f>
        <v>8193307.1799658062</v>
      </c>
      <c r="M33" s="356">
        <f>Debt!L24</f>
        <v>8193307.1799658062</v>
      </c>
      <c r="N33" s="356">
        <f>Debt!M24</f>
        <v>8193307.1799658062</v>
      </c>
      <c r="O33" s="356">
        <f>Debt!N24</f>
        <v>8193307.1799658062</v>
      </c>
      <c r="P33" s="356">
        <f>Debt!O24</f>
        <v>8193307.1799658062</v>
      </c>
      <c r="Q33" s="356">
        <f>Debt!P24</f>
        <v>8193307.1799658062</v>
      </c>
      <c r="R33" s="356">
        <f>Debt!Q24</f>
        <v>8193307.1799658062</v>
      </c>
      <c r="S33" s="356">
        <f>Debt!R24</f>
        <v>8193307.1799658062</v>
      </c>
      <c r="T33" s="356">
        <f>Debt!S24</f>
        <v>8193307.1799658062</v>
      </c>
      <c r="U33" s="356">
        <f>Debt!T24</f>
        <v>8193307.1799658062</v>
      </c>
      <c r="V33" s="356">
        <f>Debt!U24</f>
        <v>0</v>
      </c>
      <c r="W33" s="356">
        <f>Debt!V24</f>
        <v>0</v>
      </c>
      <c r="X33" s="356">
        <f>Debt!W24</f>
        <v>0</v>
      </c>
      <c r="Y33" s="356">
        <f>Debt!X24</f>
        <v>0</v>
      </c>
      <c r="Z33" s="356">
        <f>Debt!Y24</f>
        <v>0</v>
      </c>
      <c r="AA33" s="356">
        <f>Debt!Z24</f>
        <v>0</v>
      </c>
      <c r="AB33" s="356">
        <f>Debt!AA24</f>
        <v>0</v>
      </c>
      <c r="AC33" s="356">
        <f>Debt!AB24</f>
        <v>0</v>
      </c>
      <c r="AD33" s="356">
        <f>Debt!AC24</f>
        <v>0</v>
      </c>
      <c r="AE33" s="356">
        <f>Debt!AD24</f>
        <v>0</v>
      </c>
      <c r="AF33" s="356">
        <f>Debt!AE24</f>
        <v>0</v>
      </c>
      <c r="AG33" s="356">
        <f>Debt!AF24</f>
        <v>0</v>
      </c>
    </row>
    <row r="34" spans="1:33" s="218" customFormat="1" ht="18" customHeight="1" x14ac:dyDescent="0.35">
      <c r="B34" s="351" t="s">
        <v>475</v>
      </c>
      <c r="C34" s="367">
        <f t="shared" ref="C34:AG34" si="9">C32-C33</f>
        <v>0</v>
      </c>
      <c r="D34" s="367">
        <f t="shared" si="9"/>
        <v>5046696.4600341944</v>
      </c>
      <c r="E34" s="367">
        <f t="shared" si="9"/>
        <v>5053628.5443646936</v>
      </c>
      <c r="F34" s="367">
        <f t="shared" si="9"/>
        <v>5060472.4641824523</v>
      </c>
      <c r="G34" s="367">
        <f t="shared" si="9"/>
        <v>5067220.208356007</v>
      </c>
      <c r="H34" s="367">
        <f t="shared" si="9"/>
        <v>5073863.5398636898</v>
      </c>
      <c r="I34" s="367">
        <f t="shared" si="9"/>
        <v>4986736.2642286355</v>
      </c>
      <c r="J34" s="367">
        <f t="shared" si="9"/>
        <v>3254609.7275711903</v>
      </c>
      <c r="K34" s="367">
        <f t="shared" si="9"/>
        <v>3206092.1180591872</v>
      </c>
      <c r="L34" s="367">
        <f t="shared" si="9"/>
        <v>3153720.7320202021</v>
      </c>
      <c r="M34" s="367">
        <f t="shared" si="9"/>
        <v>3097226.0913714143</v>
      </c>
      <c r="N34" s="367">
        <f t="shared" si="9"/>
        <v>3036320.1807596022</v>
      </c>
      <c r="O34" s="367">
        <f t="shared" si="9"/>
        <v>2970695.1606215117</v>
      </c>
      <c r="P34" s="367">
        <f t="shared" si="9"/>
        <v>2900021.9902834697</v>
      </c>
      <c r="Q34" s="367">
        <f t="shared" si="9"/>
        <v>2823948.9548074426</v>
      </c>
      <c r="R34" s="367">
        <f t="shared" si="9"/>
        <v>2742100.0888502812</v>
      </c>
      <c r="S34" s="367">
        <f t="shared" si="9"/>
        <v>2654073.4903316488</v>
      </c>
      <c r="T34" s="367">
        <f t="shared" si="9"/>
        <v>2559439.5162018584</v>
      </c>
      <c r="U34" s="367">
        <f t="shared" si="9"/>
        <v>2457738.8520612167</v>
      </c>
      <c r="V34" s="367">
        <f t="shared" si="9"/>
        <v>10541787.626771186</v>
      </c>
      <c r="W34" s="367">
        <f t="shared" si="9"/>
        <v>10544888.098364465</v>
      </c>
      <c r="X34" s="367">
        <f t="shared" si="9"/>
        <v>6390621.7818210935</v>
      </c>
      <c r="Y34" s="367">
        <f t="shared" si="9"/>
        <v>6317046.556828687</v>
      </c>
      <c r="Z34" s="367">
        <f t="shared" si="9"/>
        <v>6243138.9151741657</v>
      </c>
      <c r="AA34" s="367">
        <f t="shared" si="9"/>
        <v>6168886.5151389949</v>
      </c>
      <c r="AB34" s="367">
        <f t="shared" si="9"/>
        <v>6094276.7690838529</v>
      </c>
      <c r="AC34" s="367">
        <f t="shared" si="9"/>
        <v>6019296.8391987346</v>
      </c>
      <c r="AD34" s="367">
        <f t="shared" si="9"/>
        <v>5943933.6331516588</v>
      </c>
      <c r="AE34" s="367">
        <f t="shared" si="9"/>
        <v>5868173.7996343104</v>
      </c>
      <c r="AF34" s="367">
        <f t="shared" si="9"/>
        <v>5792003.7238027751</v>
      </c>
      <c r="AG34" s="367">
        <f t="shared" si="9"/>
        <v>5715409.5226116134</v>
      </c>
    </row>
    <row r="35" spans="1:33" s="218" customFormat="1" ht="18" customHeight="1" x14ac:dyDescent="0.35">
      <c r="B35" s="368" t="s">
        <v>476</v>
      </c>
      <c r="C35" s="369">
        <f>C22</f>
        <v>-44145060.998924971</v>
      </c>
      <c r="D35" s="369">
        <f t="shared" ref="D35:AG35" si="10">D34</f>
        <v>5046696.4600341944</v>
      </c>
      <c r="E35" s="369">
        <f t="shared" si="10"/>
        <v>5053628.5443646936</v>
      </c>
      <c r="F35" s="369">
        <f t="shared" si="10"/>
        <v>5060472.4641824523</v>
      </c>
      <c r="G35" s="369">
        <f t="shared" si="10"/>
        <v>5067220.208356007</v>
      </c>
      <c r="H35" s="369">
        <f t="shared" si="10"/>
        <v>5073863.5398636898</v>
      </c>
      <c r="I35" s="369">
        <f t="shared" si="10"/>
        <v>4986736.2642286355</v>
      </c>
      <c r="J35" s="369">
        <f t="shared" si="10"/>
        <v>3254609.7275711903</v>
      </c>
      <c r="K35" s="369">
        <f t="shared" si="10"/>
        <v>3206092.1180591872</v>
      </c>
      <c r="L35" s="369">
        <f t="shared" si="10"/>
        <v>3153720.7320202021</v>
      </c>
      <c r="M35" s="369">
        <f t="shared" si="10"/>
        <v>3097226.0913714143</v>
      </c>
      <c r="N35" s="369">
        <f t="shared" si="10"/>
        <v>3036320.1807596022</v>
      </c>
      <c r="O35" s="369">
        <f t="shared" si="10"/>
        <v>2970695.1606215117</v>
      </c>
      <c r="P35" s="369">
        <f t="shared" si="10"/>
        <v>2900021.9902834697</v>
      </c>
      <c r="Q35" s="369">
        <f t="shared" si="10"/>
        <v>2823948.9548074426</v>
      </c>
      <c r="R35" s="369">
        <f t="shared" si="10"/>
        <v>2742100.0888502812</v>
      </c>
      <c r="S35" s="369">
        <f t="shared" si="10"/>
        <v>2654073.4903316488</v>
      </c>
      <c r="T35" s="369">
        <f t="shared" si="10"/>
        <v>2559439.5162018584</v>
      </c>
      <c r="U35" s="369">
        <f t="shared" si="10"/>
        <v>2457738.8520612167</v>
      </c>
      <c r="V35" s="369">
        <f t="shared" si="10"/>
        <v>10541787.626771186</v>
      </c>
      <c r="W35" s="369">
        <f t="shared" si="10"/>
        <v>10544888.098364465</v>
      </c>
      <c r="X35" s="369">
        <f t="shared" si="10"/>
        <v>6390621.7818210935</v>
      </c>
      <c r="Y35" s="369">
        <f t="shared" si="10"/>
        <v>6317046.556828687</v>
      </c>
      <c r="Z35" s="369">
        <f t="shared" si="10"/>
        <v>6243138.9151741657</v>
      </c>
      <c r="AA35" s="369">
        <f t="shared" si="10"/>
        <v>6168886.5151389949</v>
      </c>
      <c r="AB35" s="369">
        <f t="shared" si="10"/>
        <v>6094276.7690838529</v>
      </c>
      <c r="AC35" s="369">
        <f t="shared" si="10"/>
        <v>6019296.8391987346</v>
      </c>
      <c r="AD35" s="369">
        <f t="shared" si="10"/>
        <v>5943933.6331516588</v>
      </c>
      <c r="AE35" s="369">
        <f t="shared" si="10"/>
        <v>5868173.7996343104</v>
      </c>
      <c r="AF35" s="369">
        <f t="shared" si="10"/>
        <v>5792003.7238027751</v>
      </c>
      <c r="AG35" s="369">
        <f t="shared" si="10"/>
        <v>5715409.5226116134</v>
      </c>
    </row>
    <row r="36" spans="1:33" s="218" customFormat="1" ht="16.5" customHeight="1" x14ac:dyDescent="0.35">
      <c r="B36" s="370" t="s">
        <v>477</v>
      </c>
      <c r="C36" s="371">
        <f>C35</f>
        <v>-44145060.998924971</v>
      </c>
      <c r="D36" s="372">
        <f t="shared" ref="D36:AG36" si="11">C36+D35</f>
        <v>-39098364.538890779</v>
      </c>
      <c r="E36" s="372">
        <f t="shared" si="11"/>
        <v>-34044735.994526088</v>
      </c>
      <c r="F36" s="372">
        <f t="shared" si="11"/>
        <v>-28984263.530343637</v>
      </c>
      <c r="G36" s="372">
        <f t="shared" si="11"/>
        <v>-23917043.321987629</v>
      </c>
      <c r="H36" s="372">
        <f t="shared" si="11"/>
        <v>-18843179.782123938</v>
      </c>
      <c r="I36" s="372">
        <f t="shared" si="11"/>
        <v>-13856443.517895304</v>
      </c>
      <c r="J36" s="372">
        <f t="shared" si="11"/>
        <v>-10601833.790324114</v>
      </c>
      <c r="K36" s="372">
        <f t="shared" si="11"/>
        <v>-7395741.6722649271</v>
      </c>
      <c r="L36" s="372">
        <f t="shared" si="11"/>
        <v>-4242020.940244725</v>
      </c>
      <c r="M36" s="372">
        <f t="shared" si="11"/>
        <v>-1144794.8488733107</v>
      </c>
      <c r="N36" s="372">
        <f t="shared" si="11"/>
        <v>1891525.3318862915</v>
      </c>
      <c r="O36" s="372">
        <f t="shared" si="11"/>
        <v>4862220.4925078033</v>
      </c>
      <c r="P36" s="372">
        <f t="shared" si="11"/>
        <v>7762242.4827912729</v>
      </c>
      <c r="Q36" s="372">
        <f t="shared" si="11"/>
        <v>10586191.437598716</v>
      </c>
      <c r="R36" s="372">
        <f t="shared" si="11"/>
        <v>13328291.526448999</v>
      </c>
      <c r="S36" s="372">
        <f t="shared" si="11"/>
        <v>15982365.016780648</v>
      </c>
      <c r="T36" s="372">
        <f t="shared" si="11"/>
        <v>18541804.532982506</v>
      </c>
      <c r="U36" s="372">
        <f t="shared" si="11"/>
        <v>20999543.385043722</v>
      </c>
      <c r="V36" s="372">
        <f t="shared" si="11"/>
        <v>31541331.011814907</v>
      </c>
      <c r="W36" s="372">
        <f t="shared" si="11"/>
        <v>42086219.110179372</v>
      </c>
      <c r="X36" s="372">
        <f t="shared" si="11"/>
        <v>48476840.892000467</v>
      </c>
      <c r="Y36" s="372">
        <f t="shared" si="11"/>
        <v>54793887.448829152</v>
      </c>
      <c r="Z36" s="372">
        <f t="shared" si="11"/>
        <v>61037026.364003316</v>
      </c>
      <c r="AA36" s="372">
        <f t="shared" si="11"/>
        <v>67205912.879142314</v>
      </c>
      <c r="AB36" s="372">
        <f t="shared" si="11"/>
        <v>73300189.648226172</v>
      </c>
      <c r="AC36" s="372">
        <f t="shared" si="11"/>
        <v>79319486.48742491</v>
      </c>
      <c r="AD36" s="372">
        <f t="shared" si="11"/>
        <v>85263420.120576575</v>
      </c>
      <c r="AE36" s="372">
        <f t="shared" si="11"/>
        <v>91131593.920210883</v>
      </c>
      <c r="AF36" s="372">
        <f t="shared" si="11"/>
        <v>96923597.644013658</v>
      </c>
      <c r="AG36" s="372">
        <f t="shared" si="11"/>
        <v>102639007.16662528</v>
      </c>
    </row>
    <row r="37" spans="1:33" ht="19.5" customHeight="1" x14ac:dyDescent="0.35">
      <c r="B37" s="379" t="s">
        <v>478</v>
      </c>
      <c r="C37" s="380">
        <f>IRR(C35:AG35)</f>
        <v>9.5227461158185145E-2</v>
      </c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</row>
    <row r="38" spans="1:33" ht="16.5" customHeight="1" x14ac:dyDescent="0.35">
      <c r="B38" s="328" t="s">
        <v>479</v>
      </c>
      <c r="C38" s="360">
        <f>NPV(Inputs!$D$101,Cashflows!D35:AG35)+Cashflows!C35</f>
        <v>-8072800.8158642054</v>
      </c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</row>
    <row r="39" spans="1:33" ht="16.5" customHeight="1" x14ac:dyDescent="0.35">
      <c r="B39" s="142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</row>
    <row r="40" spans="1:33" ht="16.5" customHeight="1" x14ac:dyDescent="0.35">
      <c r="B40" s="142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</row>
    <row r="41" spans="1:33" ht="16.5" customHeight="1" x14ac:dyDescent="0.35">
      <c r="A41" s="364" t="s">
        <v>480</v>
      </c>
      <c r="B41" s="1"/>
      <c r="C41" s="1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</row>
    <row r="42" spans="1:33" ht="18" customHeight="1" x14ac:dyDescent="0.35">
      <c r="B42" s="321" t="s">
        <v>481</v>
      </c>
      <c r="C42" s="362">
        <f>(SUM(D35:AG35)/ABS(C35))</f>
        <v>3.3250394233032048</v>
      </c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</row>
    <row r="43" spans="1:33" ht="18" customHeight="1" x14ac:dyDescent="0.35">
      <c r="B43" s="322" t="s">
        <v>482</v>
      </c>
      <c r="C43" s="363">
        <f t="array" ref="C43">MATCH(TRUE(), C36:AG36 &gt;= 0,0)-1</f>
        <v>11</v>
      </c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</row>
    <row r="44" spans="1:33" ht="16.5" customHeight="1" x14ac:dyDescent="0.35"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</row>
    <row r="45" spans="1:33" ht="16.5" customHeight="1" x14ac:dyDescent="0.35">
      <c r="B45" s="166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</row>
    <row r="46" spans="1:33" ht="16.5" customHeight="1" x14ac:dyDescent="0.35">
      <c r="A46" s="364" t="s">
        <v>483</v>
      </c>
      <c r="B46" s="364"/>
      <c r="C46" s="364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</row>
    <row r="47" spans="1:33" ht="19.5" customHeight="1" x14ac:dyDescent="0.35">
      <c r="B47" s="365" t="s">
        <v>60</v>
      </c>
      <c r="C47" s="366">
        <f>C16</f>
        <v>7.749320138645488E-2</v>
      </c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</row>
    <row r="48" spans="1:33" ht="19.5" customHeight="1" x14ac:dyDescent="0.35">
      <c r="B48" s="203" t="s">
        <v>68</v>
      </c>
      <c r="C48" s="204">
        <f>C37</f>
        <v>9.5227461158185145E-2</v>
      </c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</row>
    <row r="49" spans="2:33" ht="16.5" customHeight="1" x14ac:dyDescent="0.35">
      <c r="B49" s="251" t="s">
        <v>470</v>
      </c>
      <c r="C49" s="375">
        <f>C17</f>
        <v>8233492.1253400743</v>
      </c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</row>
    <row r="50" spans="2:33" ht="16.5" customHeight="1" x14ac:dyDescent="0.35">
      <c r="B50" s="278" t="s">
        <v>72</v>
      </c>
      <c r="C50" s="376">
        <f>C38</f>
        <v>-8072800.8158642054</v>
      </c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</row>
    <row r="51" spans="2:33" ht="18" customHeight="1" x14ac:dyDescent="0.35">
      <c r="B51" s="368" t="s">
        <v>74</v>
      </c>
      <c r="C51" s="378">
        <f>C42</f>
        <v>3.3250394233032048</v>
      </c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</row>
    <row r="52" spans="2:33" ht="18" customHeight="1" x14ac:dyDescent="0.35">
      <c r="B52" s="351" t="s">
        <v>76</v>
      </c>
      <c r="C52" s="377">
        <f>C43</f>
        <v>11</v>
      </c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</row>
    <row r="53" spans="2:33" ht="16.5" customHeight="1" x14ac:dyDescent="0.35">
      <c r="B53" s="251" t="s">
        <v>484</v>
      </c>
      <c r="C53" s="375">
        <f>SUM(C23:AG23)</f>
        <v>524378451.56539065</v>
      </c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</row>
    <row r="54" spans="2:33" ht="16.5" customHeight="1" x14ac:dyDescent="0.35">
      <c r="B54" s="278" t="s">
        <v>485</v>
      </c>
      <c r="C54" s="376">
        <f>SUM(C24:AG24)</f>
        <v>181755136.85895249</v>
      </c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</row>
    <row r="55" spans="2:33" ht="16.5" customHeight="1" x14ac:dyDescent="0.35">
      <c r="B55" s="251" t="s">
        <v>486</v>
      </c>
      <c r="C55" s="375">
        <f>SUM(C29:AG29)</f>
        <v>48359717.301503345</v>
      </c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</row>
    <row r="56" spans="2:33" ht="16.5" customHeight="1" x14ac:dyDescent="0.35">
      <c r="B56" s="278" t="s">
        <v>487</v>
      </c>
      <c r="C56" s="376">
        <f>SUM(C30:AG30)</f>
        <v>7987600.6323563363</v>
      </c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</row>
    <row r="57" spans="2:33" ht="16.5" customHeight="1" x14ac:dyDescent="0.35">
      <c r="B57" s="251" t="s">
        <v>78</v>
      </c>
      <c r="C57" s="375">
        <f>SUM(C33:AG33)</f>
        <v>147479529.23938453</v>
      </c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</row>
  </sheetData>
  <mergeCells count="1">
    <mergeCell ref="A1:A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E35"/>
  <sheetViews>
    <sheetView showGridLines="0" zoomScaleNormal="100" workbookViewId="0">
      <selection activeCell="C34" sqref="C34"/>
    </sheetView>
  </sheetViews>
  <sheetFormatPr defaultColWidth="8.7265625" defaultRowHeight="14.5" x14ac:dyDescent="0.35"/>
  <cols>
    <col min="1" max="1" width="1.7265625" customWidth="1"/>
    <col min="2" max="2" width="46" customWidth="1"/>
    <col min="3" max="3" width="18" customWidth="1"/>
    <col min="4" max="4" width="28" customWidth="1"/>
    <col min="5" max="5" width="34.7265625" customWidth="1"/>
  </cols>
  <sheetData>
    <row r="1" spans="1:5" ht="27.75" customHeight="1" thickBot="1" x14ac:dyDescent="0.4">
      <c r="A1" s="512" t="s">
        <v>488</v>
      </c>
      <c r="B1" s="512"/>
      <c r="C1" s="512"/>
      <c r="D1" s="513"/>
      <c r="E1" s="513"/>
    </row>
    <row r="2" spans="1:5" ht="18" customHeight="1" x14ac:dyDescent="0.35">
      <c r="A2" s="1" t="s">
        <v>489</v>
      </c>
      <c r="B2" s="1"/>
      <c r="C2" s="1"/>
      <c r="D2" s="2"/>
      <c r="E2" s="2"/>
    </row>
    <row r="3" spans="1:5" ht="18" customHeight="1" x14ac:dyDescent="0.35">
      <c r="A3" s="207"/>
      <c r="B3" s="384" t="s">
        <v>490</v>
      </c>
      <c r="C3" s="211">
        <f>Costs!C13+NPV(Inputs!$D$70,Costs!$C$25:$AF$25)</f>
        <v>240383190.1244835</v>
      </c>
      <c r="D3" s="2"/>
      <c r="E3" s="2"/>
    </row>
    <row r="4" spans="1:5" ht="18" customHeight="1" x14ac:dyDescent="0.35">
      <c r="A4" s="207"/>
      <c r="B4" s="319" t="s">
        <v>491</v>
      </c>
      <c r="C4" s="212">
        <f>NPV(Inputs!$D$70,Energy!$B$9:$AE$9)</f>
        <v>2644995.0673886319</v>
      </c>
      <c r="D4" s="2"/>
      <c r="E4" s="2"/>
    </row>
    <row r="5" spans="1:5" ht="18" customHeight="1" x14ac:dyDescent="0.35">
      <c r="A5" s="207"/>
      <c r="B5" s="321" t="s">
        <v>492</v>
      </c>
      <c r="C5" s="385">
        <f>C3/C4</f>
        <v>90.882282953295103</v>
      </c>
      <c r="D5" s="2"/>
      <c r="E5" s="2"/>
    </row>
    <row r="6" spans="1:5" ht="18" customHeight="1" x14ac:dyDescent="0.35">
      <c r="A6" s="207"/>
      <c r="B6" s="142"/>
      <c r="C6" s="208"/>
      <c r="D6" s="2"/>
      <c r="E6" s="2"/>
    </row>
    <row r="7" spans="1:5" ht="18" customHeight="1" x14ac:dyDescent="0.35">
      <c r="A7" s="207"/>
      <c r="B7" s="142"/>
      <c r="C7" s="208"/>
      <c r="D7" s="2"/>
      <c r="E7" s="2"/>
    </row>
    <row r="8" spans="1:5" ht="18" customHeight="1" x14ac:dyDescent="0.35">
      <c r="A8" s="1" t="s">
        <v>493</v>
      </c>
      <c r="B8" s="1"/>
      <c r="C8" s="1"/>
      <c r="D8" s="2"/>
      <c r="E8" s="2"/>
    </row>
    <row r="9" spans="1:5" ht="18" customHeight="1" x14ac:dyDescent="0.35">
      <c r="A9" s="207"/>
      <c r="B9" s="384" t="s">
        <v>490</v>
      </c>
      <c r="C9" s="211">
        <f>Costs!C13+NPV(Inputs!$D$70,Costs!$C$25:$AF$25)</f>
        <v>240383190.1244835</v>
      </c>
      <c r="D9" s="2"/>
      <c r="E9" s="2"/>
    </row>
    <row r="10" spans="1:5" ht="18" customHeight="1" x14ac:dyDescent="0.35">
      <c r="A10" s="207"/>
      <c r="B10" s="319" t="s">
        <v>491</v>
      </c>
      <c r="C10" s="212">
        <f>NPV(Inputs!$D$70,Energy!$B$9:$AE$9)+NPV(Inputs!$D$70,Energy!$B$19:$AE$19)</f>
        <v>3441910.4054860286</v>
      </c>
      <c r="D10" s="2"/>
      <c r="E10" s="2"/>
    </row>
    <row r="11" spans="1:5" ht="18" customHeight="1" x14ac:dyDescent="0.35">
      <c r="A11" s="207"/>
      <c r="B11" s="321" t="s">
        <v>494</v>
      </c>
      <c r="C11" s="385">
        <f>C9/C10</f>
        <v>69.840048637332046</v>
      </c>
      <c r="D11" s="2"/>
      <c r="E11" s="2"/>
    </row>
    <row r="12" spans="1:5" ht="18" customHeight="1" x14ac:dyDescent="0.35">
      <c r="A12" s="207"/>
      <c r="B12" s="142"/>
      <c r="C12" s="208"/>
      <c r="D12" s="2"/>
      <c r="E12" s="2"/>
    </row>
    <row r="13" spans="1:5" ht="18" customHeight="1" x14ac:dyDescent="0.35">
      <c r="A13" s="207"/>
      <c r="B13" s="142"/>
      <c r="C13" s="208"/>
      <c r="D13" s="2"/>
      <c r="E13" s="2"/>
    </row>
    <row r="14" spans="1:5" ht="18" customHeight="1" x14ac:dyDescent="0.35">
      <c r="A14" s="1" t="s">
        <v>495</v>
      </c>
      <c r="B14" s="1"/>
      <c r="C14" s="1"/>
      <c r="D14" s="2"/>
      <c r="E14" s="2"/>
    </row>
    <row r="15" spans="1:5" ht="18" customHeight="1" x14ac:dyDescent="0.35">
      <c r="A15" s="282" t="s">
        <v>496</v>
      </c>
      <c r="B15" s="282"/>
      <c r="C15" s="282"/>
      <c r="D15" s="2"/>
      <c r="E15" s="2"/>
    </row>
    <row r="16" spans="1:5" ht="18" customHeight="1" x14ac:dyDescent="0.35">
      <c r="A16" s="207"/>
      <c r="B16" s="387" t="s">
        <v>497</v>
      </c>
      <c r="C16" s="215">
        <f>Inputs!$D$30</f>
        <v>50</v>
      </c>
      <c r="D16" s="2"/>
      <c r="E16" s="2"/>
    </row>
    <row r="17" spans="1:5" ht="18" customHeight="1" x14ac:dyDescent="0.35">
      <c r="A17" s="207"/>
      <c r="B17" s="322" t="s">
        <v>498</v>
      </c>
      <c r="C17" s="389">
        <f>Cashflows!$C$48</f>
        <v>9.5227461158185145E-2</v>
      </c>
      <c r="D17" s="2"/>
      <c r="E17" s="205"/>
    </row>
    <row r="18" spans="1:5" ht="18" customHeight="1" x14ac:dyDescent="0.35">
      <c r="A18" s="207"/>
      <c r="B18" s="321" t="s">
        <v>499</v>
      </c>
      <c r="C18" s="388">
        <f>Cashflows!$C$47</f>
        <v>7.749320138645488E-2</v>
      </c>
      <c r="D18" s="2"/>
      <c r="E18" s="2"/>
    </row>
    <row r="19" spans="1:5" ht="18" customHeight="1" x14ac:dyDescent="0.35">
      <c r="A19" s="207"/>
      <c r="B19" s="322" t="s">
        <v>500</v>
      </c>
      <c r="C19" s="390">
        <f>C5</f>
        <v>90.882282953295103</v>
      </c>
      <c r="D19" s="2"/>
      <c r="E19" s="2"/>
    </row>
    <row r="20" spans="1:5" ht="18" customHeight="1" x14ac:dyDescent="0.35">
      <c r="A20" s="207"/>
      <c r="B20" s="321" t="s">
        <v>501</v>
      </c>
      <c r="C20" s="385">
        <f>C11</f>
        <v>69.840048637332046</v>
      </c>
      <c r="D20" s="2"/>
      <c r="E20" s="2"/>
    </row>
    <row r="21" spans="1:5" ht="18" customHeight="1" x14ac:dyDescent="0.35">
      <c r="A21" s="207"/>
      <c r="B21" s="486" t="s">
        <v>502</v>
      </c>
      <c r="C21" s="487">
        <f>IF(Inputs!$D$101-LCOE!C17&gt;0,Inputs!$D$101-LCOE!C17,0)</f>
        <v>2.4772538841814851E-2</v>
      </c>
      <c r="D21" s="2"/>
      <c r="E21" s="2"/>
    </row>
    <row r="22" spans="1:5" ht="18" customHeight="1" x14ac:dyDescent="0.35">
      <c r="A22" s="207"/>
      <c r="B22" s="166"/>
      <c r="C22" s="209"/>
      <c r="D22" s="2"/>
      <c r="E22" s="2"/>
    </row>
    <row r="23" spans="1:5" ht="18" customHeight="1" x14ac:dyDescent="0.35">
      <c r="A23" s="282" t="s">
        <v>503</v>
      </c>
      <c r="B23" s="282"/>
      <c r="C23" s="282"/>
      <c r="D23" s="386" t="s">
        <v>195</v>
      </c>
      <c r="E23" s="2"/>
    </row>
    <row r="24" spans="1:5" ht="18" customHeight="1" x14ac:dyDescent="0.35">
      <c r="A24" s="207"/>
      <c r="B24" s="336" t="s">
        <v>504</v>
      </c>
      <c r="C24" s="391">
        <f>Inputs!$D$101</f>
        <v>0.12</v>
      </c>
      <c r="D24" s="392"/>
      <c r="E24" s="2"/>
    </row>
    <row r="25" spans="1:5" ht="18" customHeight="1" x14ac:dyDescent="0.35">
      <c r="A25" s="207"/>
      <c r="B25" s="395" t="s">
        <v>505</v>
      </c>
      <c r="C25" s="396">
        <v>55.4173475217085</v>
      </c>
      <c r="D25" s="397" t="s">
        <v>506</v>
      </c>
      <c r="E25" s="2"/>
    </row>
    <row r="26" spans="1:5" ht="18" customHeight="1" x14ac:dyDescent="0.35">
      <c r="A26" s="207"/>
      <c r="B26" s="337" t="s">
        <v>507</v>
      </c>
      <c r="C26" s="393">
        <f>C25-C16</f>
        <v>5.4173475217084999</v>
      </c>
      <c r="D26" s="394"/>
      <c r="E26" s="2"/>
    </row>
    <row r="27" spans="1:5" ht="18" customHeight="1" x14ac:dyDescent="0.35">
      <c r="A27" s="207"/>
      <c r="B27" s="398" t="s">
        <v>508</v>
      </c>
      <c r="C27" s="399">
        <f>C26/C16</f>
        <v>0.10834695043417</v>
      </c>
      <c r="D27" s="400"/>
      <c r="E27" s="2"/>
    </row>
    <row r="28" spans="1:5" ht="18" customHeight="1" x14ac:dyDescent="0.35">
      <c r="A28" s="207"/>
      <c r="B28" s="166"/>
      <c r="C28" s="209"/>
      <c r="D28" s="206"/>
      <c r="E28" s="2"/>
    </row>
    <row r="29" spans="1:5" ht="18" customHeight="1" x14ac:dyDescent="0.35">
      <c r="A29" s="282" t="s">
        <v>509</v>
      </c>
      <c r="B29" s="282"/>
      <c r="C29" s="282"/>
      <c r="D29" s="386" t="s">
        <v>135</v>
      </c>
      <c r="E29" s="2"/>
    </row>
    <row r="30" spans="1:5" ht="18" customHeight="1" x14ac:dyDescent="0.35">
      <c r="B30" s="336" t="s">
        <v>510</v>
      </c>
      <c r="C30" s="393">
        <v>50</v>
      </c>
      <c r="D30" s="401" t="s">
        <v>511</v>
      </c>
      <c r="E30" s="2"/>
    </row>
    <row r="31" spans="1:5" ht="18" customHeight="1" x14ac:dyDescent="0.35">
      <c r="B31" s="402" t="s">
        <v>512</v>
      </c>
      <c r="C31" s="403">
        <v>131</v>
      </c>
      <c r="D31" s="404" t="s">
        <v>511</v>
      </c>
      <c r="E31" s="2"/>
    </row>
    <row r="32" spans="1:5" ht="18" customHeight="1" x14ac:dyDescent="0.35">
      <c r="B32" s="337" t="s">
        <v>513</v>
      </c>
      <c r="C32" s="393">
        <v>40</v>
      </c>
      <c r="D32" s="394" t="s">
        <v>29</v>
      </c>
      <c r="E32" s="2"/>
    </row>
    <row r="33" spans="2:5" ht="18" customHeight="1" x14ac:dyDescent="0.35">
      <c r="B33" s="402" t="s">
        <v>514</v>
      </c>
      <c r="C33" s="403">
        <v>65</v>
      </c>
      <c r="D33" s="404" t="s">
        <v>29</v>
      </c>
      <c r="E33" s="2"/>
    </row>
    <row r="34" spans="2:5" ht="18" customHeight="1" x14ac:dyDescent="0.35">
      <c r="B34" s="213" t="s">
        <v>515</v>
      </c>
      <c r="C34" s="124" t="str">
        <f>IF(AND(C11&gt;=C30,C11&lt;=C31),"Within range","Outside range")</f>
        <v>Within range</v>
      </c>
      <c r="D34" s="2"/>
      <c r="E34" s="2"/>
    </row>
    <row r="35" spans="2:5" ht="18" customHeight="1" x14ac:dyDescent="0.35">
      <c r="B35" s="213" t="s">
        <v>516</v>
      </c>
      <c r="C35" s="214" t="str">
        <f>IF(AND(C25&gt;=C32,C25&lt;=C33),"Achievable", "Above market")</f>
        <v>Achievable</v>
      </c>
      <c r="D35" s="2"/>
      <c r="E35" s="2"/>
    </row>
  </sheetData>
  <mergeCells count="1">
    <mergeCell ref="A1:E1"/>
  </mergeCells>
  <conditionalFormatting sqref="B21:C21">
    <cfRule type="expression" dxfId="29" priority="3">
      <formula>$C$21&gt;0</formula>
    </cfRule>
  </conditionalFormatting>
  <conditionalFormatting sqref="C21">
    <cfRule type="cellIs" dxfId="28" priority="4" operator="greaterThan">
      <formula>0</formula>
    </cfRule>
  </conditionalFormatting>
  <conditionalFormatting sqref="C34">
    <cfRule type="expression" dxfId="27" priority="2">
      <formula>$C$34="Within range"</formula>
    </cfRule>
  </conditionalFormatting>
  <conditionalFormatting sqref="C35">
    <cfRule type="expression" dxfId="26" priority="1">
      <formula>$C$35="Achievable"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95959"/>
  </sheetPr>
  <dimension ref="A1:L170"/>
  <sheetViews>
    <sheetView showGridLines="0" topLeftCell="A19" zoomScaleNormal="100" workbookViewId="0">
      <selection activeCell="F136" sqref="F136"/>
    </sheetView>
  </sheetViews>
  <sheetFormatPr defaultColWidth="8.7265625" defaultRowHeight="14.5" x14ac:dyDescent="0.35"/>
  <cols>
    <col min="1" max="1" width="2" customWidth="1"/>
    <col min="2" max="2" width="34" style="79" customWidth="1"/>
    <col min="3" max="3" width="22" customWidth="1"/>
    <col min="4" max="7" width="14" customWidth="1"/>
    <col min="8" max="8" width="16" customWidth="1"/>
    <col min="9" max="10" width="14" customWidth="1"/>
  </cols>
  <sheetData>
    <row r="1" spans="1:10" ht="27.75" customHeight="1" x14ac:dyDescent="0.35">
      <c r="A1" s="512" t="s">
        <v>517</v>
      </c>
      <c r="B1" s="512"/>
      <c r="C1" s="512"/>
      <c r="D1" s="513"/>
      <c r="E1" s="513"/>
      <c r="F1" s="513"/>
      <c r="G1" s="513"/>
      <c r="H1" s="513"/>
      <c r="I1" s="513"/>
      <c r="J1" s="513"/>
    </row>
    <row r="2" spans="1:10" ht="16.5" customHeight="1" x14ac:dyDescent="0.35">
      <c r="A2" s="282" t="s">
        <v>518</v>
      </c>
      <c r="B2" s="282"/>
      <c r="C2" s="282"/>
      <c r="D2" s="143"/>
      <c r="E2" s="143"/>
      <c r="F2" s="143"/>
      <c r="G2" s="143"/>
      <c r="H2" s="143"/>
      <c r="I2" s="143"/>
      <c r="J2" s="143"/>
    </row>
    <row r="3" spans="1:10" ht="16.5" customHeight="1" x14ac:dyDescent="0.35">
      <c r="A3" s="207"/>
      <c r="B3" s="414" t="s">
        <v>60</v>
      </c>
      <c r="C3" s="415">
        <v>7.7493201386454894E-2</v>
      </c>
      <c r="D3" s="143"/>
      <c r="E3" s="143"/>
      <c r="F3" s="143"/>
      <c r="G3" s="143"/>
      <c r="H3" s="143"/>
      <c r="I3" s="143"/>
      <c r="J3" s="143"/>
    </row>
    <row r="4" spans="1:10" ht="16.5" customHeight="1" x14ac:dyDescent="0.35">
      <c r="A4" s="207"/>
      <c r="B4" s="278" t="s">
        <v>68</v>
      </c>
      <c r="C4" s="418">
        <v>9.5227387413335404E-2</v>
      </c>
      <c r="D4" s="143"/>
      <c r="E4" s="143"/>
      <c r="F4" s="143"/>
      <c r="G4" s="143"/>
      <c r="H4" s="143"/>
      <c r="I4" s="143"/>
      <c r="J4" s="143"/>
    </row>
    <row r="5" spans="1:10" ht="16.5" customHeight="1" x14ac:dyDescent="0.35">
      <c r="A5" s="207"/>
      <c r="B5" s="251" t="s">
        <v>519</v>
      </c>
      <c r="C5" s="416">
        <v>1.3</v>
      </c>
      <c r="D5" s="143"/>
      <c r="E5" s="143"/>
      <c r="F5" s="143"/>
      <c r="G5" s="143"/>
      <c r="H5" s="143"/>
      <c r="I5" s="143"/>
      <c r="J5" s="143"/>
    </row>
    <row r="6" spans="1:10" ht="16.5" customHeight="1" x14ac:dyDescent="0.35">
      <c r="A6" s="207"/>
      <c r="B6" s="278" t="s">
        <v>74</v>
      </c>
      <c r="C6" s="419">
        <v>3.32503403573907</v>
      </c>
      <c r="D6" s="143"/>
      <c r="E6" s="143"/>
      <c r="F6" s="143"/>
      <c r="G6" s="143"/>
      <c r="H6" s="143"/>
      <c r="I6" s="143"/>
      <c r="J6" s="143"/>
    </row>
    <row r="7" spans="1:10" ht="16.5" customHeight="1" x14ac:dyDescent="0.35">
      <c r="A7" s="207"/>
      <c r="B7" s="251" t="s">
        <v>76</v>
      </c>
      <c r="C7" s="417">
        <v>15</v>
      </c>
      <c r="D7" s="143"/>
      <c r="E7" s="143"/>
      <c r="F7" s="143"/>
      <c r="G7" s="143"/>
      <c r="H7" s="143"/>
      <c r="I7" s="143"/>
      <c r="J7" s="143"/>
    </row>
    <row r="8" spans="1:10" ht="16.5" customHeight="1" x14ac:dyDescent="0.35">
      <c r="A8" s="207"/>
      <c r="B8" s="278" t="s">
        <v>374</v>
      </c>
      <c r="C8" s="423">
        <v>172100000</v>
      </c>
      <c r="D8" s="143"/>
      <c r="E8" s="143"/>
      <c r="F8" s="143"/>
      <c r="G8" s="143"/>
      <c r="H8" s="143"/>
      <c r="I8" s="143"/>
      <c r="J8" s="143"/>
    </row>
    <row r="9" spans="1:10" ht="16.5" customHeight="1" x14ac:dyDescent="0.35">
      <c r="A9" s="207"/>
      <c r="B9" s="251" t="s">
        <v>81</v>
      </c>
      <c r="C9" s="424">
        <v>82417043.316011101</v>
      </c>
      <c r="D9" s="143"/>
      <c r="E9" s="143"/>
      <c r="F9" s="143"/>
      <c r="G9" s="143"/>
      <c r="H9" s="143"/>
      <c r="I9" s="143"/>
      <c r="J9" s="143"/>
    </row>
    <row r="10" spans="1:10" ht="16.5" customHeight="1" x14ac:dyDescent="0.35">
      <c r="A10" s="207"/>
      <c r="B10" s="278" t="s">
        <v>367</v>
      </c>
      <c r="C10" s="423">
        <v>44145206.683988899</v>
      </c>
      <c r="D10" s="143"/>
      <c r="E10" s="143"/>
      <c r="F10" s="143"/>
      <c r="G10" s="143"/>
      <c r="H10" s="143"/>
      <c r="I10" s="143"/>
      <c r="J10" s="143"/>
    </row>
    <row r="11" spans="1:10" ht="16.5" customHeight="1" x14ac:dyDescent="0.35">
      <c r="A11" s="207"/>
      <c r="B11" s="251" t="s">
        <v>520</v>
      </c>
      <c r="C11" s="424">
        <v>69.840048637332103</v>
      </c>
      <c r="D11" s="143"/>
      <c r="E11" s="143"/>
      <c r="F11" s="143"/>
      <c r="G11" s="143"/>
      <c r="H11" s="143"/>
      <c r="I11" s="143"/>
      <c r="J11" s="143"/>
    </row>
    <row r="12" spans="1:10" ht="16.5" customHeight="1" x14ac:dyDescent="0.35">
      <c r="A12" s="207"/>
      <c r="B12" s="341" t="s">
        <v>521</v>
      </c>
      <c r="C12" s="425">
        <v>55.4173475217085</v>
      </c>
      <c r="D12" s="143"/>
      <c r="E12" s="143"/>
      <c r="F12" s="143"/>
      <c r="G12" s="143"/>
      <c r="H12" s="143"/>
      <c r="I12" s="143"/>
      <c r="J12" s="143"/>
    </row>
    <row r="13" spans="1:10" ht="16.5" customHeight="1" x14ac:dyDescent="0.35">
      <c r="A13" s="207"/>
      <c r="B13" s="142"/>
      <c r="C13" s="143"/>
      <c r="D13" s="143"/>
      <c r="E13" s="143"/>
      <c r="F13" s="143"/>
      <c r="G13" s="143"/>
      <c r="H13" s="143"/>
      <c r="I13" s="143"/>
      <c r="J13" s="143"/>
    </row>
    <row r="14" spans="1:10" ht="16.5" customHeight="1" x14ac:dyDescent="0.35">
      <c r="A14" s="207"/>
      <c r="B14" s="142"/>
      <c r="C14" s="143"/>
      <c r="D14" s="143"/>
      <c r="E14" s="143"/>
      <c r="F14" s="143"/>
      <c r="G14" s="143"/>
      <c r="H14" s="143"/>
      <c r="I14" s="143"/>
      <c r="J14" s="143"/>
    </row>
    <row r="15" spans="1:10" ht="16.5" customHeight="1" x14ac:dyDescent="0.35">
      <c r="A15" s="282" t="s">
        <v>522</v>
      </c>
      <c r="B15" s="282"/>
      <c r="C15" s="282"/>
      <c r="D15" s="282"/>
      <c r="E15" s="282"/>
      <c r="F15" s="282"/>
      <c r="G15" s="282"/>
      <c r="H15" s="282"/>
      <c r="I15" s="282"/>
      <c r="J15" s="167"/>
    </row>
    <row r="16" spans="1:10" ht="19.5" customHeight="1" x14ac:dyDescent="0.35">
      <c r="A16" s="81"/>
      <c r="B16" s="1" t="s">
        <v>527</v>
      </c>
      <c r="C16" s="81"/>
      <c r="D16" s="127"/>
      <c r="E16" s="127"/>
      <c r="F16" s="127"/>
      <c r="G16" s="127"/>
      <c r="H16" s="127"/>
      <c r="I16" s="81"/>
    </row>
    <row r="17" spans="1:12" ht="16.5" customHeight="1" x14ac:dyDescent="0.35">
      <c r="A17" s="217"/>
      <c r="C17" s="318" t="s">
        <v>523</v>
      </c>
      <c r="D17" s="318" t="s">
        <v>524</v>
      </c>
      <c r="E17" s="318" t="s">
        <v>469</v>
      </c>
      <c r="F17" s="318" t="s">
        <v>478</v>
      </c>
      <c r="G17" s="318" t="s">
        <v>525</v>
      </c>
      <c r="H17" s="318" t="s">
        <v>481</v>
      </c>
      <c r="I17" s="318" t="s">
        <v>526</v>
      </c>
      <c r="J17" s="218"/>
      <c r="K17" s="218"/>
      <c r="L17" s="218"/>
    </row>
    <row r="18" spans="1:12" ht="18" customHeight="1" x14ac:dyDescent="0.35">
      <c r="A18" s="217"/>
      <c r="C18" s="405" t="s">
        <v>528</v>
      </c>
      <c r="D18" s="420">
        <v>40</v>
      </c>
      <c r="E18" s="219">
        <v>5.8047495798820202E-2</v>
      </c>
      <c r="F18" s="219">
        <v>5.4273122313051897E-2</v>
      </c>
      <c r="G18" s="220">
        <v>1.29998122356101</v>
      </c>
      <c r="H18" s="220">
        <v>2.2407753265155499</v>
      </c>
      <c r="I18" s="221">
        <v>-4.0954265100283403E-2</v>
      </c>
      <c r="J18" s="218"/>
      <c r="K18" s="218"/>
      <c r="L18" s="218"/>
    </row>
    <row r="19" spans="1:12" ht="16.5" customHeight="1" x14ac:dyDescent="0.35">
      <c r="A19" s="217"/>
      <c r="C19" s="406" t="s">
        <v>529</v>
      </c>
      <c r="D19" s="421">
        <v>45</v>
      </c>
      <c r="E19" s="222">
        <v>6.7773192284812198E-2</v>
      </c>
      <c r="F19" s="222">
        <v>7.2163321898280203E-2</v>
      </c>
      <c r="G19" s="223">
        <v>1.3000098500777399</v>
      </c>
      <c r="H19" s="223">
        <v>2.7049166385817101</v>
      </c>
      <c r="I19" s="224">
        <v>-2.3064065515055101E-2</v>
      </c>
      <c r="J19" s="218"/>
      <c r="K19" s="218"/>
      <c r="L19" s="218"/>
    </row>
    <row r="20" spans="1:12" ht="16.5" customHeight="1" x14ac:dyDescent="0.35">
      <c r="A20" s="217"/>
      <c r="C20" s="407" t="s">
        <v>530</v>
      </c>
      <c r="D20" s="422">
        <v>50</v>
      </c>
      <c r="E20" s="225">
        <v>7.7493201386454894E-2</v>
      </c>
      <c r="F20" s="225">
        <v>9.5200851170401501E-2</v>
      </c>
      <c r="G20" s="226">
        <v>1.3007907553804401</v>
      </c>
      <c r="H20" s="226">
        <v>3.3230959387305301</v>
      </c>
      <c r="I20" s="227">
        <v>-2.6536242933916701E-5</v>
      </c>
      <c r="J20" s="218"/>
      <c r="K20" s="218"/>
      <c r="L20" s="218"/>
    </row>
    <row r="21" spans="1:12" ht="16.5" customHeight="1" x14ac:dyDescent="0.35">
      <c r="A21" s="217"/>
      <c r="C21" s="406" t="s">
        <v>531</v>
      </c>
      <c r="D21" s="421">
        <v>55</v>
      </c>
      <c r="E21" s="222">
        <v>8.7193981906390494E-2</v>
      </c>
      <c r="F21" s="222">
        <v>0.127028331092881</v>
      </c>
      <c r="G21" s="223">
        <v>1.3006081722389899</v>
      </c>
      <c r="H21" s="223">
        <v>4.1949421644384</v>
      </c>
      <c r="I21" s="224">
        <v>3.1800943679545703E-2</v>
      </c>
      <c r="J21" s="218"/>
      <c r="K21" s="218"/>
      <c r="L21" s="218"/>
    </row>
    <row r="22" spans="1:12" ht="16.5" customHeight="1" x14ac:dyDescent="0.35">
      <c r="A22" s="217"/>
      <c r="C22" s="405" t="s">
        <v>532</v>
      </c>
      <c r="D22" s="420">
        <v>60</v>
      </c>
      <c r="E22" s="219">
        <v>9.6865948902808502E-2</v>
      </c>
      <c r="F22" s="219">
        <v>0.17563455121778901</v>
      </c>
      <c r="G22" s="220">
        <v>1.3004657512982001</v>
      </c>
      <c r="H22" s="220">
        <v>5.5165538390183304</v>
      </c>
      <c r="I22" s="221">
        <v>8.0407163804453494E-2</v>
      </c>
      <c r="J22" s="218"/>
      <c r="K22" s="218"/>
      <c r="L22" s="218"/>
    </row>
    <row r="23" spans="1:12" ht="16.5" customHeight="1" x14ac:dyDescent="0.35">
      <c r="A23" s="207"/>
      <c r="C23" s="406" t="s">
        <v>533</v>
      </c>
      <c r="D23" s="421">
        <v>65</v>
      </c>
      <c r="E23" s="222">
        <v>0.106315314627088</v>
      </c>
      <c r="F23" s="222">
        <v>0.26114295475813898</v>
      </c>
      <c r="G23" s="223">
        <v>1.30036316265875</v>
      </c>
      <c r="H23" s="223">
        <v>7.7566382515764998</v>
      </c>
      <c r="I23" s="224">
        <v>0.16591556734480301</v>
      </c>
    </row>
    <row r="24" spans="1:12" ht="16.5" customHeight="1" x14ac:dyDescent="0.35">
      <c r="A24" s="207"/>
      <c r="C24" s="408"/>
      <c r="D24" s="409"/>
      <c r="E24" s="410"/>
      <c r="F24" s="410"/>
      <c r="G24" s="411"/>
      <c r="H24" s="411"/>
      <c r="I24" s="412"/>
    </row>
    <row r="25" spans="1:12" x14ac:dyDescent="0.35">
      <c r="A25" s="81"/>
      <c r="B25" s="1" t="s">
        <v>534</v>
      </c>
      <c r="C25" s="81"/>
      <c r="D25" s="127"/>
      <c r="E25" s="127"/>
      <c r="F25" s="127"/>
      <c r="G25" s="127"/>
      <c r="H25" s="127"/>
      <c r="I25" s="81"/>
    </row>
    <row r="26" spans="1:12" ht="23" x14ac:dyDescent="0.35">
      <c r="A26" s="207"/>
      <c r="B26" s="142"/>
      <c r="C26" s="318" t="s">
        <v>523</v>
      </c>
      <c r="D26" s="413" t="s">
        <v>535</v>
      </c>
      <c r="E26" s="318" t="s">
        <v>469</v>
      </c>
      <c r="F26" s="318" t="s">
        <v>478</v>
      </c>
      <c r="G26" s="318" t="s">
        <v>525</v>
      </c>
      <c r="H26" s="318" t="s">
        <v>481</v>
      </c>
      <c r="I26" s="318" t="s">
        <v>526</v>
      </c>
    </row>
    <row r="27" spans="1:12" ht="16.5" customHeight="1" x14ac:dyDescent="0.35">
      <c r="A27" s="207"/>
      <c r="B27" s="142"/>
      <c r="C27" s="426" t="s">
        <v>536</v>
      </c>
      <c r="D27" s="228">
        <v>0.24</v>
      </c>
      <c r="E27" s="229">
        <v>6.5423095576243401E-2</v>
      </c>
      <c r="F27" s="229">
        <v>6.7582526553527006E-2</v>
      </c>
      <c r="G27" s="230">
        <v>1.2999917019858001</v>
      </c>
      <c r="H27" s="230">
        <v>2.5198983031306899</v>
      </c>
      <c r="I27" s="229">
        <v>-2.7644860859808301E-2</v>
      </c>
    </row>
    <row r="28" spans="1:12" ht="18" customHeight="1" x14ac:dyDescent="0.35">
      <c r="A28" s="207"/>
      <c r="B28" s="216"/>
      <c r="C28" s="427" t="s">
        <v>529</v>
      </c>
      <c r="D28" s="231">
        <v>0.25</v>
      </c>
      <c r="E28" s="232">
        <v>6.9494523948644402E-2</v>
      </c>
      <c r="F28" s="232">
        <v>7.6053364896827597E-2</v>
      </c>
      <c r="G28" s="233">
        <v>1.3000348419199499</v>
      </c>
      <c r="H28" s="233">
        <v>2.7583990992679999</v>
      </c>
      <c r="I28" s="232">
        <v>-1.9174022516507801E-2</v>
      </c>
    </row>
    <row r="29" spans="1:12" ht="16.5" customHeight="1" x14ac:dyDescent="0.35">
      <c r="A29" s="207"/>
      <c r="B29" s="142"/>
      <c r="C29" s="407" t="s">
        <v>537</v>
      </c>
      <c r="D29" s="234">
        <v>0.27</v>
      </c>
      <c r="E29" s="235">
        <v>7.7493201386454894E-2</v>
      </c>
      <c r="F29" s="235">
        <v>9.5233131102437502E-2</v>
      </c>
      <c r="G29" s="236">
        <v>1.29979433335659</v>
      </c>
      <c r="H29" s="236">
        <v>3.3254536770605898</v>
      </c>
      <c r="I29" s="235">
        <v>5.7436891021112097E-6</v>
      </c>
    </row>
    <row r="30" spans="1:12" ht="16.5" customHeight="1" x14ac:dyDescent="0.35">
      <c r="A30" s="207"/>
      <c r="B30" s="142"/>
      <c r="C30" s="427" t="s">
        <v>532</v>
      </c>
      <c r="D30" s="231">
        <v>0.28999999999999998</v>
      </c>
      <c r="E30" s="232">
        <v>8.5324885824016095E-2</v>
      </c>
      <c r="F30" s="232">
        <v>0.11888594545509</v>
      </c>
      <c r="G30" s="233">
        <v>1.30016127176444</v>
      </c>
      <c r="H30" s="233">
        <v>4.0565242368927796</v>
      </c>
      <c r="I30" s="232">
        <v>2.3658558041754499E-2</v>
      </c>
    </row>
    <row r="31" spans="1:12" ht="16.5" customHeight="1" x14ac:dyDescent="0.35">
      <c r="A31" s="207"/>
      <c r="B31" s="142"/>
      <c r="C31" s="426" t="s">
        <v>538</v>
      </c>
      <c r="D31" s="228">
        <v>0.31</v>
      </c>
      <c r="E31" s="229">
        <v>9.30149377626419E-2</v>
      </c>
      <c r="F31" s="229">
        <v>0.14991400310856001</v>
      </c>
      <c r="G31" s="230">
        <v>1.3002018849816199</v>
      </c>
      <c r="H31" s="230">
        <v>5.0396579829639601</v>
      </c>
      <c r="I31" s="229">
        <v>5.4686615695224997E-2</v>
      </c>
      <c r="J31" s="143"/>
    </row>
    <row r="32" spans="1:12" ht="16.5" customHeight="1" x14ac:dyDescent="0.35">
      <c r="A32" s="207"/>
      <c r="B32" s="142"/>
      <c r="C32" s="143"/>
      <c r="D32" s="143"/>
      <c r="E32" s="143"/>
      <c r="F32" s="143"/>
      <c r="G32" s="143"/>
      <c r="H32" s="143"/>
      <c r="I32" s="143"/>
      <c r="J32" s="143"/>
    </row>
    <row r="33" spans="1:10" x14ac:dyDescent="0.35">
      <c r="A33" s="81"/>
      <c r="B33" s="1" t="s">
        <v>539</v>
      </c>
      <c r="C33" s="81"/>
      <c r="D33" s="127"/>
      <c r="E33" s="127"/>
      <c r="F33" s="127"/>
      <c r="G33" s="127"/>
      <c r="H33" s="127"/>
      <c r="I33" s="81"/>
    </row>
    <row r="34" spans="1:10" ht="23" x14ac:dyDescent="0.35">
      <c r="A34" s="207"/>
      <c r="B34" s="142"/>
      <c r="C34" s="413" t="s">
        <v>523</v>
      </c>
      <c r="D34" s="413" t="s">
        <v>540</v>
      </c>
      <c r="E34" s="413" t="s">
        <v>469</v>
      </c>
      <c r="F34" s="413" t="s">
        <v>478</v>
      </c>
      <c r="G34" s="413" t="s">
        <v>525</v>
      </c>
      <c r="H34" s="413" t="s">
        <v>481</v>
      </c>
      <c r="I34" s="413" t="s">
        <v>526</v>
      </c>
    </row>
    <row r="35" spans="1:10" ht="16.5" customHeight="1" x14ac:dyDescent="0.35">
      <c r="A35" s="207"/>
      <c r="B35" s="142"/>
      <c r="C35" s="405" t="s">
        <v>533</v>
      </c>
      <c r="D35" s="230">
        <v>0.7</v>
      </c>
      <c r="E35" s="229">
        <v>8.7111906144736503E-2</v>
      </c>
      <c r="F35" s="229">
        <v>0.12502370551671799</v>
      </c>
      <c r="G35" s="230">
        <v>1.29997179584401</v>
      </c>
      <c r="H35" s="230">
        <v>4.2347088725337203</v>
      </c>
      <c r="I35" s="229">
        <v>2.9796318103382201E-2</v>
      </c>
    </row>
    <row r="36" spans="1:10" ht="18" customHeight="1" x14ac:dyDescent="0.35">
      <c r="A36" s="207"/>
      <c r="B36" s="216"/>
      <c r="C36" s="406" t="s">
        <v>529</v>
      </c>
      <c r="D36" s="233">
        <v>0.75</v>
      </c>
      <c r="E36" s="232">
        <v>8.2149569572572897E-2</v>
      </c>
      <c r="F36" s="232">
        <v>0.10848162672975301</v>
      </c>
      <c r="G36" s="233">
        <v>1.29998204987377</v>
      </c>
      <c r="H36" s="233">
        <v>3.72579668356195</v>
      </c>
      <c r="I36" s="232">
        <v>1.3254239316417501E-2</v>
      </c>
    </row>
    <row r="37" spans="1:10" ht="16.5" customHeight="1" x14ac:dyDescent="0.35">
      <c r="A37" s="207"/>
      <c r="B37" s="142"/>
      <c r="C37" s="407" t="s">
        <v>530</v>
      </c>
      <c r="D37" s="236">
        <v>0.8</v>
      </c>
      <c r="E37" s="235">
        <v>7.7493201386454894E-2</v>
      </c>
      <c r="F37" s="235">
        <v>9.5227187746296904E-2</v>
      </c>
      <c r="G37" s="236">
        <v>1.2999775139001499</v>
      </c>
      <c r="H37" s="236">
        <v>3.3250194487434501</v>
      </c>
      <c r="I37" s="235">
        <v>-1.9966703845852899E-7</v>
      </c>
    </row>
    <row r="38" spans="1:10" ht="18" customHeight="1" x14ac:dyDescent="0.35">
      <c r="B38" s="237"/>
      <c r="C38" s="406" t="s">
        <v>532</v>
      </c>
      <c r="D38" s="233">
        <v>0.9</v>
      </c>
      <c r="E38" s="232">
        <v>6.8976974440649694E-2</v>
      </c>
      <c r="F38" s="232">
        <v>7.4944710746366605E-2</v>
      </c>
      <c r="G38" s="233">
        <v>1.29997126700926</v>
      </c>
      <c r="H38" s="233">
        <v>2.7333323230687001</v>
      </c>
      <c r="I38" s="232">
        <v>-2.0282676666968799E-2</v>
      </c>
    </row>
    <row r="39" spans="1:10" ht="16.5" customHeight="1" x14ac:dyDescent="0.35">
      <c r="A39" s="207"/>
      <c r="B39" s="142"/>
      <c r="C39" s="405" t="s">
        <v>528</v>
      </c>
      <c r="D39" s="230">
        <v>1</v>
      </c>
      <c r="E39" s="229">
        <v>6.1359076762761401E-2</v>
      </c>
      <c r="F39" s="229">
        <v>5.9786495366568597E-2</v>
      </c>
      <c r="G39" s="230">
        <v>1.29997087782792</v>
      </c>
      <c r="H39" s="230">
        <v>2.3165500562659802</v>
      </c>
      <c r="I39" s="229">
        <v>-3.54408920467668E-2</v>
      </c>
      <c r="J39" s="143"/>
    </row>
    <row r="40" spans="1:10" ht="16.5" customHeight="1" x14ac:dyDescent="0.35">
      <c r="A40" s="207"/>
      <c r="B40" s="142"/>
      <c r="C40" s="143"/>
      <c r="D40" s="143"/>
      <c r="E40" s="143"/>
      <c r="F40" s="143"/>
      <c r="G40" s="143"/>
      <c r="H40" s="143"/>
      <c r="I40" s="143"/>
      <c r="J40" s="143"/>
    </row>
    <row r="41" spans="1:10" ht="15" thickBot="1" x14ac:dyDescent="0.4">
      <c r="A41" s="81"/>
      <c r="B41" s="82" t="s">
        <v>541</v>
      </c>
      <c r="C41" s="81"/>
      <c r="D41" s="127"/>
      <c r="E41" s="127"/>
      <c r="F41" s="127"/>
      <c r="G41" s="127"/>
      <c r="H41" s="127"/>
      <c r="I41" s="81"/>
    </row>
    <row r="42" spans="1:10" ht="23" x14ac:dyDescent="0.35">
      <c r="A42" s="207"/>
      <c r="B42" s="142"/>
      <c r="C42" s="413" t="s">
        <v>523</v>
      </c>
      <c r="D42" s="413" t="s">
        <v>542</v>
      </c>
      <c r="E42" s="413" t="s">
        <v>469</v>
      </c>
      <c r="F42" s="413" t="s">
        <v>478</v>
      </c>
      <c r="G42" s="413" t="s">
        <v>525</v>
      </c>
      <c r="H42" s="413" t="s">
        <v>481</v>
      </c>
      <c r="I42" s="413" t="s">
        <v>526</v>
      </c>
    </row>
    <row r="43" spans="1:10" ht="16.5" customHeight="1" x14ac:dyDescent="0.35">
      <c r="A43" s="207"/>
      <c r="B43" s="142"/>
      <c r="C43" s="428" t="s">
        <v>533</v>
      </c>
      <c r="D43" s="238">
        <v>180</v>
      </c>
      <c r="E43" s="239">
        <v>8.5421656828737605E-2</v>
      </c>
      <c r="F43" s="239">
        <v>0.119060412071624</v>
      </c>
      <c r="G43" s="240">
        <v>1.29997456565216</v>
      </c>
      <c r="H43" s="240">
        <v>4.0504796840478603</v>
      </c>
      <c r="I43" s="239">
        <v>2.3833024658289001E-2</v>
      </c>
    </row>
    <row r="44" spans="1:10" ht="18" customHeight="1" x14ac:dyDescent="0.35">
      <c r="A44" s="207"/>
      <c r="B44" s="216"/>
      <c r="C44" s="429" t="s">
        <v>529</v>
      </c>
      <c r="D44" s="242">
        <v>200</v>
      </c>
      <c r="E44" s="243">
        <v>8.2149569572572897E-2</v>
      </c>
      <c r="F44" s="243">
        <v>0.108481605134467</v>
      </c>
      <c r="G44" s="244">
        <v>1.29998245955887</v>
      </c>
      <c r="H44" s="244">
        <v>3.7257953286158201</v>
      </c>
      <c r="I44" s="243">
        <v>1.3254217721131899E-2</v>
      </c>
    </row>
    <row r="45" spans="1:10" ht="16.5" customHeight="1" x14ac:dyDescent="0.35">
      <c r="A45" s="207"/>
      <c r="B45" s="142"/>
      <c r="C45" s="430" t="s">
        <v>530</v>
      </c>
      <c r="D45" s="112">
        <v>230</v>
      </c>
      <c r="E45" s="126">
        <v>7.7493201386454894E-2</v>
      </c>
      <c r="F45" s="126">
        <v>9.5227039069912103E-2</v>
      </c>
      <c r="G45" s="122">
        <v>1.2999820978814001</v>
      </c>
      <c r="H45" s="122">
        <v>3.3250085869925998</v>
      </c>
      <c r="I45" s="126">
        <v>-3.4834342321765601E-7</v>
      </c>
    </row>
    <row r="46" spans="1:10" ht="18" customHeight="1" x14ac:dyDescent="0.35">
      <c r="B46" s="237"/>
      <c r="C46" s="429" t="s">
        <v>532</v>
      </c>
      <c r="D46" s="242">
        <v>280</v>
      </c>
      <c r="E46" s="243">
        <v>7.0329142872878697E-2</v>
      </c>
      <c r="F46" s="243">
        <v>7.7905271280274996E-2</v>
      </c>
      <c r="G46" s="244">
        <v>1.29997410144596</v>
      </c>
      <c r="H46" s="244">
        <v>2.8174161914176801</v>
      </c>
      <c r="I46" s="243">
        <v>-1.7322116133060301E-2</v>
      </c>
    </row>
    <row r="47" spans="1:10" ht="16.5" customHeight="1" x14ac:dyDescent="0.35">
      <c r="A47" s="207"/>
      <c r="B47" s="142"/>
      <c r="C47" s="428" t="s">
        <v>528</v>
      </c>
      <c r="D47" s="238">
        <v>320</v>
      </c>
      <c r="E47" s="239">
        <v>6.5066398801501502E-2</v>
      </c>
      <c r="F47" s="239">
        <v>6.6866771425558205E-2</v>
      </c>
      <c r="G47" s="240">
        <v>1.2999776099912099</v>
      </c>
      <c r="H47" s="240">
        <v>2.5081522497531199</v>
      </c>
      <c r="I47" s="239">
        <v>-2.8360615987777199E-2</v>
      </c>
    </row>
    <row r="48" spans="1:10" ht="16.5" customHeight="1" x14ac:dyDescent="0.35">
      <c r="A48" s="207"/>
      <c r="B48" s="142"/>
      <c r="C48" s="142"/>
      <c r="D48" s="142"/>
      <c r="E48" s="142"/>
      <c r="F48" s="142"/>
      <c r="G48" s="142"/>
      <c r="H48" s="142"/>
      <c r="I48" s="142"/>
      <c r="J48" s="142"/>
    </row>
    <row r="49" spans="1:9" ht="15" thickBot="1" x14ac:dyDescent="0.4">
      <c r="A49" s="81"/>
      <c r="B49" s="82" t="s">
        <v>543</v>
      </c>
      <c r="C49" s="81"/>
      <c r="D49" s="127"/>
      <c r="E49" s="127"/>
      <c r="F49" s="127"/>
      <c r="G49" s="127"/>
      <c r="H49" s="127"/>
      <c r="I49" s="81"/>
    </row>
    <row r="50" spans="1:9" ht="23" x14ac:dyDescent="0.35">
      <c r="A50" s="207"/>
      <c r="B50" s="142"/>
      <c r="C50" s="413" t="s">
        <v>523</v>
      </c>
      <c r="D50" s="413" t="s">
        <v>544</v>
      </c>
      <c r="E50" s="413" t="s">
        <v>469</v>
      </c>
      <c r="F50" s="413" t="s">
        <v>478</v>
      </c>
      <c r="G50" s="413" t="s">
        <v>525</v>
      </c>
      <c r="H50" s="413" t="s">
        <v>481</v>
      </c>
      <c r="I50" s="413" t="s">
        <v>526</v>
      </c>
    </row>
    <row r="51" spans="1:9" ht="16.5" customHeight="1" x14ac:dyDescent="0.35">
      <c r="A51" s="207"/>
      <c r="B51" s="142"/>
      <c r="C51" s="118" t="s">
        <v>545</v>
      </c>
      <c r="D51" s="118">
        <v>5</v>
      </c>
      <c r="E51" s="239">
        <v>8.5024660881279898E-2</v>
      </c>
      <c r="F51" s="239">
        <v>0.117712127521077</v>
      </c>
      <c r="G51" s="240">
        <v>1.29997538492807</v>
      </c>
      <c r="H51" s="240">
        <v>4.0089273503110601</v>
      </c>
      <c r="I51" s="239">
        <v>2.2484740107741499E-2</v>
      </c>
    </row>
    <row r="52" spans="1:9" ht="18" customHeight="1" x14ac:dyDescent="0.35">
      <c r="A52" s="207"/>
      <c r="B52" s="216"/>
      <c r="C52" s="241" t="s">
        <v>529</v>
      </c>
      <c r="D52" s="241">
        <v>10</v>
      </c>
      <c r="E52" s="243">
        <v>8.1164781914485201E-2</v>
      </c>
      <c r="F52" s="243">
        <v>0.10551717005191801</v>
      </c>
      <c r="G52" s="244">
        <v>1.2999855416289701</v>
      </c>
      <c r="H52" s="244">
        <v>3.6354719269561899</v>
      </c>
      <c r="I52" s="243">
        <v>1.02897826385822E-2</v>
      </c>
    </row>
    <row r="53" spans="1:9" ht="16.5" customHeight="1" x14ac:dyDescent="0.35">
      <c r="A53" s="207"/>
      <c r="B53" s="142"/>
      <c r="C53" s="120" t="s">
        <v>530</v>
      </c>
      <c r="D53" s="120">
        <v>15</v>
      </c>
      <c r="E53" s="126">
        <v>7.7493201386454894E-2</v>
      </c>
      <c r="F53" s="126">
        <v>9.52274910496793E-2</v>
      </c>
      <c r="G53" s="122">
        <v>1.2999681627135899</v>
      </c>
      <c r="H53" s="122">
        <v>3.3250416070831101</v>
      </c>
      <c r="I53" s="126">
        <v>1.03636343951052E-7</v>
      </c>
    </row>
    <row r="54" spans="1:9" ht="16.5" customHeight="1" x14ac:dyDescent="0.35">
      <c r="B54" s="237"/>
      <c r="C54" s="241" t="s">
        <v>532</v>
      </c>
      <c r="D54" s="241">
        <v>25</v>
      </c>
      <c r="E54" s="243">
        <v>7.0654840496771301E-2</v>
      </c>
      <c r="F54" s="243">
        <v>7.86324498545556E-2</v>
      </c>
      <c r="G54" s="244">
        <v>1.2999748655510399</v>
      </c>
      <c r="H54" s="244">
        <v>2.8381867853857301</v>
      </c>
      <c r="I54" s="243">
        <v>-1.65949375587797E-2</v>
      </c>
    </row>
    <row r="55" spans="1:9" ht="16.5" customHeight="1" x14ac:dyDescent="0.35">
      <c r="A55" s="207"/>
      <c r="B55" s="142"/>
      <c r="C55" s="118" t="s">
        <v>546</v>
      </c>
      <c r="D55" s="118">
        <v>40</v>
      </c>
      <c r="E55" s="239">
        <v>6.1473833662695203E-2</v>
      </c>
      <c r="F55" s="239">
        <v>5.9998149376881103E-2</v>
      </c>
      <c r="G55" s="240">
        <v>1.2999706614731901</v>
      </c>
      <c r="H55" s="240">
        <v>2.3221929633312302</v>
      </c>
      <c r="I55" s="239">
        <v>-3.5229238036454301E-2</v>
      </c>
    </row>
    <row r="56" spans="1:9" ht="16.5" customHeight="1" x14ac:dyDescent="0.35">
      <c r="A56" s="207"/>
      <c r="B56" s="142"/>
      <c r="C56" s="142"/>
      <c r="D56" s="142"/>
      <c r="E56" s="142"/>
      <c r="F56" s="142"/>
      <c r="G56" s="142"/>
      <c r="H56" s="142"/>
      <c r="I56" s="142"/>
    </row>
    <row r="57" spans="1:9" ht="15" thickBot="1" x14ac:dyDescent="0.4">
      <c r="A57" s="81"/>
      <c r="B57" s="82" t="s">
        <v>547</v>
      </c>
      <c r="C57" s="81"/>
      <c r="D57" s="127"/>
      <c r="E57" s="127"/>
      <c r="F57" s="127"/>
      <c r="G57" s="127"/>
      <c r="H57" s="127"/>
      <c r="I57" s="81"/>
    </row>
    <row r="58" spans="1:9" ht="23" x14ac:dyDescent="0.35">
      <c r="A58" s="207"/>
      <c r="B58" s="142"/>
      <c r="C58" s="413" t="s">
        <v>523</v>
      </c>
      <c r="D58" s="413" t="s">
        <v>325</v>
      </c>
      <c r="E58" s="413" t="s">
        <v>469</v>
      </c>
      <c r="F58" s="413" t="s">
        <v>478</v>
      </c>
      <c r="G58" s="413" t="s">
        <v>525</v>
      </c>
      <c r="H58" s="413" t="s">
        <v>481</v>
      </c>
      <c r="I58" s="413" t="s">
        <v>526</v>
      </c>
    </row>
    <row r="59" spans="1:9" ht="16.5" customHeight="1" x14ac:dyDescent="0.35">
      <c r="A59" s="207"/>
      <c r="B59" s="142"/>
      <c r="C59" s="118" t="s">
        <v>528</v>
      </c>
      <c r="D59" s="238">
        <v>20</v>
      </c>
      <c r="E59" s="239">
        <v>7.3840526543953705E-2</v>
      </c>
      <c r="F59" s="239">
        <v>8.8504041341807893E-2</v>
      </c>
      <c r="G59" s="240">
        <v>1.2999775139001499</v>
      </c>
      <c r="H59" s="240">
        <v>2.79399228393248</v>
      </c>
      <c r="I59" s="239">
        <v>-6.7233460715274704E-3</v>
      </c>
    </row>
    <row r="60" spans="1:9" ht="18" customHeight="1" x14ac:dyDescent="0.35">
      <c r="A60" s="207"/>
      <c r="B60" s="216"/>
      <c r="C60" s="241" t="s">
        <v>529</v>
      </c>
      <c r="D60" s="242">
        <v>28</v>
      </c>
      <c r="E60" s="243">
        <v>7.5842194865061205E-2</v>
      </c>
      <c r="F60" s="243">
        <v>9.2255428696460501E-2</v>
      </c>
      <c r="G60" s="244">
        <v>1.2999775139001499</v>
      </c>
      <c r="H60" s="244">
        <v>3.0772067718316598</v>
      </c>
      <c r="I60" s="243">
        <v>-2.9719587168748301E-3</v>
      </c>
    </row>
    <row r="61" spans="1:9" ht="16.5" customHeight="1" x14ac:dyDescent="0.35">
      <c r="A61" s="207"/>
      <c r="B61" s="142"/>
      <c r="C61" s="120" t="s">
        <v>530</v>
      </c>
      <c r="D61" s="112">
        <v>35</v>
      </c>
      <c r="E61" s="126">
        <v>7.7493201386454894E-2</v>
      </c>
      <c r="F61" s="126">
        <v>9.5227187746296904E-2</v>
      </c>
      <c r="G61" s="122">
        <v>1.2999775139001499</v>
      </c>
      <c r="H61" s="122">
        <v>3.3250194487434501</v>
      </c>
      <c r="I61" s="126">
        <v>-1.9966703845852899E-7</v>
      </c>
    </row>
    <row r="62" spans="1:9" ht="16.5" customHeight="1" x14ac:dyDescent="0.35">
      <c r="B62" s="237"/>
      <c r="C62" s="241" t="s">
        <v>532</v>
      </c>
      <c r="D62" s="242">
        <v>42</v>
      </c>
      <c r="E62" s="243">
        <v>7.9061438487721306E-2</v>
      </c>
      <c r="F62" s="243">
        <v>9.7962168986744896E-2</v>
      </c>
      <c r="G62" s="244">
        <v>1.2999775139001499</v>
      </c>
      <c r="H62" s="244">
        <v>3.5728321256552298</v>
      </c>
      <c r="I62" s="243">
        <v>2.7347815734095602E-3</v>
      </c>
    </row>
    <row r="63" spans="1:9" ht="16.5" customHeight="1" x14ac:dyDescent="0.35">
      <c r="A63" s="207"/>
      <c r="B63" s="142"/>
      <c r="C63" s="118" t="s">
        <v>533</v>
      </c>
      <c r="D63" s="238">
        <v>50</v>
      </c>
      <c r="E63" s="239">
        <v>8.0763447133121294E-2</v>
      </c>
      <c r="F63" s="239">
        <v>0.10084587749203</v>
      </c>
      <c r="G63" s="240">
        <v>1.2999775139001499</v>
      </c>
      <c r="H63" s="240">
        <v>3.85604661355441</v>
      </c>
      <c r="I63" s="239">
        <v>5.6184900786944202E-3</v>
      </c>
    </row>
    <row r="64" spans="1:9" ht="16.5" customHeight="1" x14ac:dyDescent="0.35">
      <c r="A64" s="207"/>
      <c r="B64" s="142"/>
      <c r="C64" s="142"/>
      <c r="D64" s="142"/>
      <c r="E64" s="142"/>
      <c r="F64" s="142"/>
      <c r="G64" s="142"/>
      <c r="H64" s="142"/>
      <c r="I64" s="142"/>
    </row>
    <row r="65" spans="1:9" ht="15" thickBot="1" x14ac:dyDescent="0.4">
      <c r="A65" s="81"/>
      <c r="B65" s="82" t="s">
        <v>548</v>
      </c>
      <c r="C65" s="81"/>
      <c r="D65" s="127"/>
      <c r="E65" s="127"/>
      <c r="F65" s="127"/>
      <c r="G65" s="127"/>
      <c r="H65" s="127"/>
      <c r="I65" s="81"/>
    </row>
    <row r="66" spans="1:9" ht="23" x14ac:dyDescent="0.35">
      <c r="A66" s="207"/>
      <c r="B66" s="142"/>
      <c r="C66" s="413" t="s">
        <v>523</v>
      </c>
      <c r="D66" s="413" t="s">
        <v>549</v>
      </c>
      <c r="E66" s="413" t="s">
        <v>469</v>
      </c>
      <c r="F66" s="413" t="s">
        <v>478</v>
      </c>
      <c r="G66" s="413" t="s">
        <v>525</v>
      </c>
      <c r="H66" s="413" t="s">
        <v>481</v>
      </c>
      <c r="I66" s="413" t="s">
        <v>526</v>
      </c>
    </row>
    <row r="67" spans="1:9" ht="16.5" customHeight="1" x14ac:dyDescent="0.35">
      <c r="A67" s="207"/>
      <c r="B67" s="142"/>
      <c r="C67" s="118" t="s">
        <v>533</v>
      </c>
      <c r="D67" s="239">
        <v>5.5E-2</v>
      </c>
      <c r="E67" s="239">
        <v>7.7493201386454894E-2</v>
      </c>
      <c r="F67" s="239">
        <v>0.12448272314240499</v>
      </c>
      <c r="G67" s="240">
        <v>1.3000117207675399</v>
      </c>
      <c r="H67" s="240">
        <v>4.2107888784811802</v>
      </c>
      <c r="I67" s="239">
        <v>2.9255335729069701E-2</v>
      </c>
    </row>
    <row r="68" spans="1:9" ht="18" customHeight="1" x14ac:dyDescent="0.35">
      <c r="A68" s="207"/>
      <c r="B68" s="216"/>
      <c r="C68" s="241" t="s">
        <v>529</v>
      </c>
      <c r="D68" s="243">
        <v>0.06</v>
      </c>
      <c r="E68" s="243">
        <v>7.7493201386454894E-2</v>
      </c>
      <c r="F68" s="243">
        <v>0.112560598128691</v>
      </c>
      <c r="G68" s="244">
        <v>1.3003263988551801</v>
      </c>
      <c r="H68" s="244">
        <v>3.8466095985430799</v>
      </c>
      <c r="I68" s="243">
        <v>1.73332107153552E-2</v>
      </c>
    </row>
    <row r="69" spans="1:9" ht="16.5" customHeight="1" x14ac:dyDescent="0.35">
      <c r="A69" s="207"/>
      <c r="B69" s="142"/>
      <c r="C69" s="120" t="s">
        <v>530</v>
      </c>
      <c r="D69" s="126">
        <v>7.0000000000000007E-2</v>
      </c>
      <c r="E69" s="126">
        <v>7.7493201386454894E-2</v>
      </c>
      <c r="F69" s="126">
        <v>9.5227187746296904E-2</v>
      </c>
      <c r="G69" s="122">
        <v>1.2999775139001499</v>
      </c>
      <c r="H69" s="122">
        <v>3.3250194487434501</v>
      </c>
      <c r="I69" s="126">
        <v>-1.9966703845852899E-7</v>
      </c>
    </row>
    <row r="70" spans="1:9" ht="18" customHeight="1" x14ac:dyDescent="0.35">
      <c r="B70" s="237"/>
      <c r="C70" s="241" t="s">
        <v>532</v>
      </c>
      <c r="D70" s="243">
        <v>0.08</v>
      </c>
      <c r="E70" s="243">
        <v>7.7493201386454894E-2</v>
      </c>
      <c r="F70" s="243">
        <v>8.3065459842789402E-2</v>
      </c>
      <c r="G70" s="244">
        <v>1.29965556040612</v>
      </c>
      <c r="H70" s="244">
        <v>2.9675834551390099</v>
      </c>
      <c r="I70" s="243">
        <v>-1.2161927570546001E-2</v>
      </c>
    </row>
    <row r="71" spans="1:9" ht="16.5" customHeight="1" x14ac:dyDescent="0.35">
      <c r="A71" s="207"/>
      <c r="B71" s="142"/>
      <c r="C71" s="118" t="s">
        <v>528</v>
      </c>
      <c r="D71" s="239">
        <v>0.09</v>
      </c>
      <c r="E71" s="239">
        <v>7.7493201386454894E-2</v>
      </c>
      <c r="F71" s="239">
        <v>7.3929815097594401E-2</v>
      </c>
      <c r="G71" s="240">
        <v>1.29993352551084</v>
      </c>
      <c r="H71" s="240">
        <v>2.7064269374253298</v>
      </c>
      <c r="I71" s="239">
        <v>-2.1297572315740899E-2</v>
      </c>
    </row>
    <row r="72" spans="1:9" ht="16.5" customHeight="1" x14ac:dyDescent="0.35">
      <c r="A72" s="207"/>
      <c r="B72" s="142"/>
      <c r="C72" s="142"/>
      <c r="D72" s="142"/>
      <c r="E72" s="142"/>
      <c r="F72" s="142"/>
      <c r="G72" s="142"/>
      <c r="H72" s="142"/>
      <c r="I72" s="142"/>
    </row>
    <row r="73" spans="1:9" ht="19.5" customHeight="1" thickBot="1" x14ac:dyDescent="0.4">
      <c r="A73" s="81"/>
      <c r="B73" s="82" t="s">
        <v>550</v>
      </c>
      <c r="C73" s="81"/>
      <c r="D73" s="127"/>
      <c r="E73" s="127"/>
      <c r="F73" s="127"/>
      <c r="G73" s="127"/>
      <c r="H73" s="127"/>
      <c r="I73" s="81"/>
    </row>
    <row r="74" spans="1:9" x14ac:dyDescent="0.35">
      <c r="A74" s="207"/>
      <c r="B74" s="142"/>
      <c r="C74" s="413" t="s">
        <v>523</v>
      </c>
      <c r="D74" s="413" t="s">
        <v>551</v>
      </c>
      <c r="E74" s="413" t="s">
        <v>469</v>
      </c>
      <c r="F74" s="413" t="s">
        <v>478</v>
      </c>
      <c r="G74" s="413" t="s">
        <v>525</v>
      </c>
      <c r="H74" s="413" t="s">
        <v>481</v>
      </c>
      <c r="I74" s="413" t="s">
        <v>526</v>
      </c>
    </row>
    <row r="75" spans="1:9" ht="16.5" customHeight="1" x14ac:dyDescent="0.35">
      <c r="A75" s="207"/>
      <c r="B75" s="142"/>
      <c r="C75" s="118" t="s">
        <v>528</v>
      </c>
      <c r="D75" s="118">
        <v>1</v>
      </c>
      <c r="E75" s="239">
        <v>7.3273125940516201E-2</v>
      </c>
      <c r="F75" s="239">
        <v>8.4768705781263803E-2</v>
      </c>
      <c r="G75" s="240">
        <v>1.3008881613694401</v>
      </c>
      <c r="H75" s="240">
        <v>3.0097060815383201</v>
      </c>
      <c r="I75" s="239">
        <v>-1.04586816320715E-2</v>
      </c>
    </row>
    <row r="76" spans="1:9" ht="18" customHeight="1" x14ac:dyDescent="0.35">
      <c r="A76" s="207"/>
      <c r="B76" s="216"/>
      <c r="C76" s="241" t="s">
        <v>529</v>
      </c>
      <c r="D76" s="241">
        <v>1.1000000000000001</v>
      </c>
      <c r="E76" s="243">
        <v>7.4686252859589505E-2</v>
      </c>
      <c r="F76" s="243">
        <v>8.81651893468407E-2</v>
      </c>
      <c r="G76" s="244">
        <v>1.30001975577103</v>
      </c>
      <c r="H76" s="244">
        <v>3.1118995244913599</v>
      </c>
      <c r="I76" s="243">
        <v>-7.06219806649466E-3</v>
      </c>
    </row>
    <row r="77" spans="1:9" ht="16.5" customHeight="1" x14ac:dyDescent="0.35">
      <c r="A77" s="207"/>
      <c r="B77" s="142"/>
      <c r="C77" s="120" t="s">
        <v>530</v>
      </c>
      <c r="D77" s="120">
        <v>1.3</v>
      </c>
      <c r="E77" s="126">
        <v>7.7493201386454894E-2</v>
      </c>
      <c r="F77" s="126">
        <v>9.5221692318210802E-2</v>
      </c>
      <c r="G77" s="122">
        <v>1.3001470011040299</v>
      </c>
      <c r="H77" s="122">
        <v>3.32461799609966</v>
      </c>
      <c r="I77" s="126">
        <v>-5.69509512460265E-6</v>
      </c>
    </row>
    <row r="78" spans="1:9" ht="16.5" customHeight="1" x14ac:dyDescent="0.35">
      <c r="B78" s="237"/>
      <c r="C78" s="241" t="s">
        <v>532</v>
      </c>
      <c r="D78" s="241">
        <v>1.5</v>
      </c>
      <c r="E78" s="243">
        <v>8.0275919901938497E-2</v>
      </c>
      <c r="F78" s="243">
        <v>0.102742057554272</v>
      </c>
      <c r="G78" s="244">
        <v>1.30005011003049</v>
      </c>
      <c r="H78" s="244">
        <v>3.5549782510977601</v>
      </c>
      <c r="I78" s="243">
        <v>7.5146701409367599E-3</v>
      </c>
    </row>
    <row r="79" spans="1:9" ht="16.5" customHeight="1" x14ac:dyDescent="0.35">
      <c r="B79" s="237"/>
      <c r="C79" s="118" t="s">
        <v>533</v>
      </c>
      <c r="D79" s="118">
        <v>1.7</v>
      </c>
      <c r="E79" s="239">
        <v>8.3036090636468704E-2</v>
      </c>
      <c r="F79" s="239">
        <v>0.10940631693936601</v>
      </c>
      <c r="G79" s="240">
        <v>1.3261389253892899</v>
      </c>
      <c r="H79" s="240">
        <v>3.7194961546610399</v>
      </c>
      <c r="I79" s="239">
        <v>1.41789295260302E-2</v>
      </c>
    </row>
    <row r="80" spans="1:9" ht="16.5" customHeight="1" x14ac:dyDescent="0.35">
      <c r="A80" s="207"/>
      <c r="B80" s="142"/>
      <c r="C80" s="142"/>
      <c r="D80" s="142"/>
      <c r="E80" s="142"/>
      <c r="F80" s="142"/>
      <c r="G80" s="142"/>
      <c r="H80" s="142"/>
      <c r="I80" s="142"/>
    </row>
    <row r="81" spans="1:10" ht="15" thickBot="1" x14ac:dyDescent="0.4">
      <c r="A81" s="81"/>
      <c r="B81" s="82" t="s">
        <v>552</v>
      </c>
      <c r="C81" s="81"/>
      <c r="D81" s="127"/>
      <c r="E81" s="127"/>
      <c r="F81" s="127"/>
      <c r="G81" s="127"/>
      <c r="H81" s="127"/>
      <c r="I81" s="127"/>
      <c r="J81" s="81"/>
    </row>
    <row r="82" spans="1:10" ht="23" x14ac:dyDescent="0.35">
      <c r="A82" s="207"/>
      <c r="B82" s="142"/>
      <c r="C82" s="413" t="s">
        <v>523</v>
      </c>
      <c r="D82" s="413" t="s">
        <v>553</v>
      </c>
      <c r="E82" s="413" t="s">
        <v>554</v>
      </c>
      <c r="F82" s="413" t="s">
        <v>469</v>
      </c>
      <c r="G82" s="413" t="s">
        <v>478</v>
      </c>
      <c r="H82" s="413" t="s">
        <v>525</v>
      </c>
      <c r="I82" s="413" t="s">
        <v>481</v>
      </c>
      <c r="J82" s="413" t="s">
        <v>526</v>
      </c>
    </row>
    <row r="83" spans="1:10" ht="16.5" customHeight="1" x14ac:dyDescent="0.35">
      <c r="A83" s="207"/>
      <c r="B83" s="142"/>
      <c r="C83" s="173" t="s">
        <v>555</v>
      </c>
      <c r="D83" s="173">
        <v>27</v>
      </c>
      <c r="E83" s="245">
        <v>0.54</v>
      </c>
      <c r="F83" s="245">
        <v>6.18046005922539E-2</v>
      </c>
      <c r="G83" s="245">
        <v>6.0641243469079502E-2</v>
      </c>
      <c r="H83" s="246">
        <v>1.29982937495368</v>
      </c>
      <c r="I83" s="246">
        <v>2.2172984221204</v>
      </c>
      <c r="J83" s="245">
        <v>-3.4586143944255902E-2</v>
      </c>
    </row>
    <row r="84" spans="1:10" ht="18" customHeight="1" x14ac:dyDescent="0.35">
      <c r="A84" s="207"/>
      <c r="B84" s="216"/>
      <c r="C84" s="110" t="s">
        <v>556</v>
      </c>
      <c r="D84" s="110">
        <v>36</v>
      </c>
      <c r="E84" s="113">
        <v>0.72</v>
      </c>
      <c r="F84" s="113">
        <v>6.9862009550928098E-2</v>
      </c>
      <c r="G84" s="113">
        <v>7.7031194697271696E-2</v>
      </c>
      <c r="H84" s="117">
        <v>1.3003790514657201</v>
      </c>
      <c r="I84" s="117">
        <v>2.7089218689302701</v>
      </c>
      <c r="J84" s="113">
        <v>-1.8196192716063701E-2</v>
      </c>
    </row>
    <row r="85" spans="1:10" ht="16.5" customHeight="1" x14ac:dyDescent="0.35">
      <c r="A85" s="207"/>
      <c r="B85" s="142"/>
      <c r="C85" s="120" t="s">
        <v>530</v>
      </c>
      <c r="D85" s="120">
        <v>45</v>
      </c>
      <c r="E85" s="126">
        <v>0.9</v>
      </c>
      <c r="F85" s="126">
        <v>7.7493201386454894E-2</v>
      </c>
      <c r="G85" s="126">
        <v>9.5227187746296904E-2</v>
      </c>
      <c r="H85" s="122">
        <v>1.2999775139001499</v>
      </c>
      <c r="I85" s="122">
        <v>3.3250194487434501</v>
      </c>
      <c r="J85" s="126">
        <v>-1.9966703845852899E-7</v>
      </c>
    </row>
    <row r="86" spans="1:10" ht="16.5" customHeight="1" x14ac:dyDescent="0.35">
      <c r="B86" s="237"/>
      <c r="C86" s="110" t="s">
        <v>557</v>
      </c>
      <c r="D86" s="110">
        <v>48</v>
      </c>
      <c r="E86" s="113">
        <v>0.96</v>
      </c>
      <c r="F86" s="113">
        <v>7.9957618656193205E-2</v>
      </c>
      <c r="G86" s="113">
        <v>0.101880746006761</v>
      </c>
      <c r="H86" s="117">
        <v>1.30072969861621</v>
      </c>
      <c r="I86" s="117">
        <v>3.56432040125536</v>
      </c>
      <c r="J86" s="113">
        <v>6.6533585934256401E-3</v>
      </c>
    </row>
    <row r="87" spans="1:10" ht="16.5" customHeight="1" x14ac:dyDescent="0.35">
      <c r="A87" s="207"/>
      <c r="B87" s="142"/>
      <c r="C87" s="142"/>
      <c r="D87" s="142"/>
      <c r="E87" s="142"/>
      <c r="F87" s="142"/>
      <c r="G87" s="142"/>
      <c r="H87" s="142"/>
      <c r="I87" s="142"/>
      <c r="J87" s="142"/>
    </row>
    <row r="88" spans="1:10" x14ac:dyDescent="0.35">
      <c r="A88" s="81"/>
      <c r="B88" s="82" t="s">
        <v>558</v>
      </c>
      <c r="C88" s="81"/>
      <c r="D88" s="127"/>
      <c r="E88" s="127"/>
      <c r="F88" s="127"/>
      <c r="G88" s="127"/>
      <c r="H88" s="127"/>
      <c r="I88" s="81"/>
    </row>
    <row r="89" spans="1:10" ht="23" x14ac:dyDescent="0.35">
      <c r="A89" s="207"/>
      <c r="B89" s="142"/>
      <c r="C89" s="413" t="s">
        <v>523</v>
      </c>
      <c r="D89" s="413" t="s">
        <v>559</v>
      </c>
      <c r="E89" s="413" t="s">
        <v>469</v>
      </c>
      <c r="F89" s="413" t="s">
        <v>478</v>
      </c>
      <c r="G89" s="413" t="s">
        <v>525</v>
      </c>
      <c r="H89" s="413" t="s">
        <v>481</v>
      </c>
      <c r="I89" s="413" t="s">
        <v>526</v>
      </c>
    </row>
    <row r="90" spans="1:10" ht="18" customHeight="1" x14ac:dyDescent="0.35">
      <c r="A90" s="207"/>
      <c r="B90" s="142"/>
      <c r="C90" s="241" t="s">
        <v>529</v>
      </c>
      <c r="D90" s="248">
        <v>0.02</v>
      </c>
      <c r="E90" s="243">
        <v>7.8868172654972299E-2</v>
      </c>
      <c r="F90" s="243">
        <v>9.9012162671056503E-2</v>
      </c>
      <c r="G90" s="244">
        <v>1.3000360259535799</v>
      </c>
      <c r="H90" s="244">
        <v>3.4348341503142699</v>
      </c>
      <c r="I90" s="243">
        <v>3.7847752577211402E-3</v>
      </c>
    </row>
    <row r="91" spans="1:10" ht="16.5" customHeight="1" x14ac:dyDescent="0.35">
      <c r="A91" s="207"/>
      <c r="B91" s="216"/>
      <c r="C91" s="120" t="s">
        <v>530</v>
      </c>
      <c r="D91" s="125">
        <v>0.04</v>
      </c>
      <c r="E91" s="126">
        <v>7.7493201386454894E-2</v>
      </c>
      <c r="F91" s="126">
        <v>9.5227187746296904E-2</v>
      </c>
      <c r="G91" s="122">
        <v>1.2999775139001499</v>
      </c>
      <c r="H91" s="122">
        <v>3.3250194487434501</v>
      </c>
      <c r="I91" s="126">
        <v>-1.9966703845852899E-7</v>
      </c>
    </row>
    <row r="92" spans="1:10" ht="16.5" customHeight="1" x14ac:dyDescent="0.35">
      <c r="A92" s="207"/>
      <c r="B92" s="142"/>
      <c r="C92" s="241" t="s">
        <v>532</v>
      </c>
      <c r="D92" s="248">
        <v>7.0000000000000007E-2</v>
      </c>
      <c r="E92" s="243">
        <v>7.5425007379684703E-2</v>
      </c>
      <c r="F92" s="243">
        <v>8.9801813467921002E-2</v>
      </c>
      <c r="G92" s="244">
        <v>1.3008534207336599</v>
      </c>
      <c r="H92" s="244">
        <v>3.1674769177515398</v>
      </c>
      <c r="I92" s="243">
        <v>-5.4255739454143201E-3</v>
      </c>
    </row>
    <row r="93" spans="1:10" ht="16.5" customHeight="1" x14ac:dyDescent="0.35">
      <c r="B93" s="237"/>
      <c r="C93" s="118" t="s">
        <v>546</v>
      </c>
      <c r="D93" s="247">
        <v>0.12</v>
      </c>
      <c r="E93" s="239">
        <v>7.1962176004760403E-2</v>
      </c>
      <c r="F93" s="239">
        <v>8.1456721640102106E-2</v>
      </c>
      <c r="G93" s="240">
        <v>1.3008781575247399</v>
      </c>
      <c r="H93" s="240">
        <v>2.9301537885537798</v>
      </c>
      <c r="I93" s="239">
        <v>-1.37706657732333E-2</v>
      </c>
    </row>
    <row r="94" spans="1:10" ht="16.5" customHeight="1" x14ac:dyDescent="0.35">
      <c r="A94" s="207"/>
      <c r="B94" s="142"/>
      <c r="C94" s="142"/>
      <c r="D94" s="142"/>
      <c r="E94" s="142"/>
      <c r="F94" s="142"/>
      <c r="G94" s="142"/>
      <c r="H94" s="142"/>
      <c r="I94" s="142"/>
    </row>
    <row r="95" spans="1:10" ht="16.5" customHeight="1" x14ac:dyDescent="0.35">
      <c r="A95" s="282" t="s">
        <v>560</v>
      </c>
      <c r="B95" s="282"/>
      <c r="C95" s="282"/>
      <c r="D95" s="282"/>
      <c r="E95" s="282"/>
      <c r="F95" s="282"/>
      <c r="G95" s="282"/>
      <c r="H95" s="282"/>
      <c r="I95" s="282"/>
    </row>
    <row r="96" spans="1:10" ht="18" customHeight="1" x14ac:dyDescent="0.35">
      <c r="A96" s="128"/>
      <c r="B96" s="129" t="s">
        <v>589</v>
      </c>
      <c r="C96" s="128"/>
      <c r="D96" s="128"/>
      <c r="E96" s="128"/>
      <c r="F96" s="128"/>
      <c r="G96" s="128"/>
      <c r="H96" s="128"/>
      <c r="I96" s="128"/>
    </row>
    <row r="97" spans="1:9" ht="16.5" customHeight="1" x14ac:dyDescent="0.35">
      <c r="B97" s="251" t="s">
        <v>561</v>
      </c>
      <c r="C97" s="257">
        <v>50</v>
      </c>
    </row>
    <row r="98" spans="1:9" ht="16.5" customHeight="1" x14ac:dyDescent="0.35">
      <c r="B98" s="278" t="s">
        <v>562</v>
      </c>
      <c r="C98" s="270">
        <v>0.8</v>
      </c>
    </row>
    <row r="99" spans="1:9" ht="16.5" customHeight="1" x14ac:dyDescent="0.35">
      <c r="B99" s="251" t="s">
        <v>535</v>
      </c>
      <c r="C99" s="288">
        <v>0.27</v>
      </c>
    </row>
    <row r="100" spans="1:9" ht="16.5" customHeight="1" x14ac:dyDescent="0.35">
      <c r="B100" s="278" t="s">
        <v>325</v>
      </c>
      <c r="C100" s="270">
        <v>35</v>
      </c>
    </row>
    <row r="101" spans="1:9" ht="16.5" customHeight="1" x14ac:dyDescent="0.35">
      <c r="B101" s="251" t="s">
        <v>563</v>
      </c>
      <c r="C101" s="292">
        <v>230</v>
      </c>
    </row>
    <row r="102" spans="1:9" ht="16.5" customHeight="1" x14ac:dyDescent="0.35">
      <c r="B102" s="278" t="s">
        <v>564</v>
      </c>
      <c r="C102" s="270">
        <v>1.3</v>
      </c>
    </row>
    <row r="103" spans="1:9" ht="16.5" customHeight="1" x14ac:dyDescent="0.35">
      <c r="B103" s="251" t="s">
        <v>549</v>
      </c>
      <c r="C103" s="431">
        <v>7.0000000000000007E-2</v>
      </c>
    </row>
    <row r="104" spans="1:9" ht="16.5" customHeight="1" x14ac:dyDescent="0.35">
      <c r="B104"/>
    </row>
    <row r="105" spans="1:9" ht="19.5" customHeight="1" x14ac:dyDescent="0.35">
      <c r="A105" s="81"/>
      <c r="B105" s="364" t="s">
        <v>565</v>
      </c>
      <c r="C105" s="432"/>
      <c r="D105" s="432"/>
      <c r="E105" s="432"/>
      <c r="F105" s="432"/>
      <c r="G105" s="432"/>
      <c r="H105" s="432"/>
      <c r="I105" s="432"/>
    </row>
    <row r="106" spans="1:9" ht="18" customHeight="1" x14ac:dyDescent="0.35">
      <c r="B106"/>
      <c r="D106" s="521" t="s">
        <v>566</v>
      </c>
      <c r="E106" s="522"/>
      <c r="F106" s="522"/>
      <c r="G106" s="522"/>
      <c r="H106" s="522"/>
      <c r="I106" s="522"/>
    </row>
    <row r="107" spans="1:9" ht="16.5" customHeight="1" x14ac:dyDescent="0.35">
      <c r="B107" s="433" t="s">
        <v>478</v>
      </c>
      <c r="C107" s="471">
        <v>9.5227187746296904E-2</v>
      </c>
      <c r="D107" s="468">
        <v>40</v>
      </c>
      <c r="E107" s="434">
        <v>45</v>
      </c>
      <c r="F107" s="440">
        <v>50</v>
      </c>
      <c r="G107" s="434">
        <v>55</v>
      </c>
      <c r="H107" s="434">
        <v>60</v>
      </c>
      <c r="I107" s="434">
        <v>65</v>
      </c>
    </row>
    <row r="108" spans="1:9" ht="16.5" customHeight="1" x14ac:dyDescent="0.35">
      <c r="B108" s="515" t="s">
        <v>562</v>
      </c>
      <c r="C108" s="475">
        <v>0.75</v>
      </c>
      <c r="D108" s="472">
        <v>6.0655422287147598E-2</v>
      </c>
      <c r="E108" s="473">
        <v>8.3559115167338105E-2</v>
      </c>
      <c r="F108" s="473">
        <v>0.108370268071398</v>
      </c>
      <c r="G108" s="473">
        <v>0.13477366852389799</v>
      </c>
      <c r="H108" s="473">
        <v>0.16242532305072099</v>
      </c>
      <c r="I108" s="474">
        <v>0.19089395254005201</v>
      </c>
    </row>
    <row r="109" spans="1:9" ht="16.5" customHeight="1" x14ac:dyDescent="0.35">
      <c r="B109" s="515"/>
      <c r="C109" s="467">
        <v>0.8</v>
      </c>
      <c r="D109" s="469">
        <v>5.24280715851866E-2</v>
      </c>
      <c r="E109" s="250">
        <v>7.3007317841837102E-2</v>
      </c>
      <c r="F109" s="250">
        <v>9.5227187746296904E-2</v>
      </c>
      <c r="G109" s="250">
        <v>0.118681537850214</v>
      </c>
      <c r="H109" s="250">
        <v>0.14322724289861299</v>
      </c>
      <c r="I109" s="435">
        <v>0.168532694602535</v>
      </c>
    </row>
    <row r="110" spans="1:9" ht="16.5" customHeight="1" x14ac:dyDescent="0.35">
      <c r="B110" s="515"/>
      <c r="C110" s="466">
        <v>0.9</v>
      </c>
      <c r="D110" s="464">
        <v>3.9166030502874899E-2</v>
      </c>
      <c r="E110" s="115">
        <v>5.64502684835178E-2</v>
      </c>
      <c r="F110" s="115">
        <v>7.4981517460900801E-2</v>
      </c>
      <c r="G110" s="115">
        <v>9.4336759294346498E-2</v>
      </c>
      <c r="H110" s="115">
        <v>0.114465383321806</v>
      </c>
      <c r="I110" s="436">
        <v>0.13521132246257</v>
      </c>
    </row>
    <row r="111" spans="1:9" ht="16.5" customHeight="1" thickBot="1" x14ac:dyDescent="0.4">
      <c r="B111" s="523"/>
      <c r="C111" s="466">
        <v>1.1000000000000001</v>
      </c>
      <c r="D111" s="470">
        <v>2.01470313627219E-2</v>
      </c>
      <c r="E111" s="437">
        <v>3.3587025229699898E-2</v>
      </c>
      <c r="F111" s="438">
        <v>4.7738776666963897E-2</v>
      </c>
      <c r="G111" s="437">
        <v>6.2515557573354502E-2</v>
      </c>
      <c r="H111" s="437">
        <v>7.76544317936287E-2</v>
      </c>
      <c r="I111" s="439">
        <v>9.3113811628333695E-2</v>
      </c>
    </row>
    <row r="112" spans="1:9" ht="16.5" customHeight="1" x14ac:dyDescent="0.35">
      <c r="B112"/>
    </row>
    <row r="113" spans="1:8" ht="16.5" customHeight="1" x14ac:dyDescent="0.35">
      <c r="B113"/>
    </row>
    <row r="114" spans="1:8" ht="19.5" customHeight="1" x14ac:dyDescent="0.35">
      <c r="A114" s="432"/>
      <c r="B114" s="364" t="s">
        <v>567</v>
      </c>
      <c r="C114" s="432"/>
      <c r="D114" s="81"/>
      <c r="E114" s="81"/>
      <c r="F114" s="81"/>
      <c r="G114" s="81"/>
      <c r="H114" s="81"/>
    </row>
    <row r="115" spans="1:8" ht="18" customHeight="1" x14ac:dyDescent="0.35">
      <c r="B115"/>
      <c r="D115" s="517" t="s">
        <v>535</v>
      </c>
      <c r="E115" s="518"/>
      <c r="F115" s="518"/>
      <c r="G115" s="518"/>
      <c r="H115" s="518"/>
    </row>
    <row r="116" spans="1:8" ht="16.5" customHeight="1" x14ac:dyDescent="0.35">
      <c r="B116" s="433" t="s">
        <v>478</v>
      </c>
      <c r="C116" s="471">
        <v>9.5227187746296904E-2</v>
      </c>
      <c r="D116" s="476">
        <v>0.22</v>
      </c>
      <c r="E116" s="477">
        <v>0.24</v>
      </c>
      <c r="F116" s="478">
        <v>0.27</v>
      </c>
      <c r="G116" s="477">
        <v>0.3</v>
      </c>
      <c r="H116" s="477">
        <v>0.32</v>
      </c>
    </row>
    <row r="117" spans="1:8" ht="16.5" customHeight="1" x14ac:dyDescent="0.35">
      <c r="B117" s="515" t="s">
        <v>325</v>
      </c>
      <c r="C117" s="479">
        <v>20</v>
      </c>
      <c r="D117" s="472">
        <v>3.9531848053735899E-2</v>
      </c>
      <c r="E117" s="473">
        <v>5.9049298145916501E-2</v>
      </c>
      <c r="F117" s="473">
        <v>8.8504041341807893E-2</v>
      </c>
      <c r="G117" s="473">
        <v>0.117959814360776</v>
      </c>
      <c r="H117" s="473">
        <v>0.13770379900460999</v>
      </c>
    </row>
    <row r="118" spans="1:8" ht="16.5" customHeight="1" x14ac:dyDescent="0.35">
      <c r="B118" s="515"/>
      <c r="C118" s="462">
        <v>28</v>
      </c>
      <c r="D118" s="465">
        <v>4.5565549532089203E-2</v>
      </c>
      <c r="E118" s="114">
        <v>6.4101592514908004E-2</v>
      </c>
      <c r="F118" s="114">
        <v>9.2255428696460501E-2</v>
      </c>
      <c r="G118" s="114">
        <v>0.120665231197813</v>
      </c>
      <c r="H118" s="114">
        <v>0.139849077208862</v>
      </c>
    </row>
    <row r="119" spans="1:8" ht="16.5" customHeight="1" x14ac:dyDescent="0.35">
      <c r="B119" s="515"/>
      <c r="C119" s="463">
        <v>35</v>
      </c>
      <c r="D119" s="464">
        <v>5.0127152314720702E-2</v>
      </c>
      <c r="E119" s="115">
        <v>6.79936888901507E-2</v>
      </c>
      <c r="F119" s="115">
        <v>9.5227187746296904E-2</v>
      </c>
      <c r="G119" s="115">
        <v>0.122862700658404</v>
      </c>
      <c r="H119" s="115">
        <v>0.14161676940885601</v>
      </c>
    </row>
    <row r="120" spans="1:8" ht="16.5" customHeight="1" x14ac:dyDescent="0.35">
      <c r="B120" s="515"/>
      <c r="C120" s="462">
        <v>42</v>
      </c>
      <c r="D120" s="465">
        <v>5.4185465668528998E-2</v>
      </c>
      <c r="E120" s="114">
        <v>7.1502859431290103E-2</v>
      </c>
      <c r="F120" s="114">
        <v>9.7962168986744896E-2</v>
      </c>
      <c r="G120" s="114">
        <v>0.124924468622455</v>
      </c>
      <c r="H120" s="114">
        <v>0.143294480865306</v>
      </c>
    </row>
    <row r="121" spans="1:8" ht="16.5" customHeight="1" x14ac:dyDescent="0.35">
      <c r="B121" s="516"/>
      <c r="C121" s="462">
        <v>50</v>
      </c>
      <c r="D121" s="464">
        <v>5.8341183125087702E-2</v>
      </c>
      <c r="E121" s="115">
        <v>7.5137205940384102E-2</v>
      </c>
      <c r="F121" s="115">
        <v>0.10084587749203</v>
      </c>
      <c r="G121" s="115">
        <v>0.127136565658132</v>
      </c>
      <c r="H121" s="115">
        <v>0.14511391036674201</v>
      </c>
    </row>
    <row r="122" spans="1:8" ht="16.5" customHeight="1" x14ac:dyDescent="0.35">
      <c r="B122"/>
    </row>
    <row r="123" spans="1:8" ht="16.5" customHeight="1" x14ac:dyDescent="0.35">
      <c r="B123"/>
    </row>
    <row r="124" spans="1:8" ht="19.5" customHeight="1" x14ac:dyDescent="0.35">
      <c r="A124" s="432"/>
      <c r="B124" s="364" t="s">
        <v>568</v>
      </c>
      <c r="C124" s="432"/>
      <c r="D124" s="81"/>
      <c r="E124" s="81"/>
      <c r="F124" s="81"/>
      <c r="G124" s="81"/>
      <c r="H124" s="81"/>
    </row>
    <row r="125" spans="1:8" ht="18" customHeight="1" x14ac:dyDescent="0.35">
      <c r="B125"/>
      <c r="D125" s="517" t="s">
        <v>563</v>
      </c>
      <c r="E125" s="518"/>
      <c r="F125" s="518"/>
      <c r="G125" s="518"/>
      <c r="H125" s="518"/>
    </row>
    <row r="126" spans="1:8" ht="16.5" customHeight="1" x14ac:dyDescent="0.35">
      <c r="B126" s="453" t="s">
        <v>478</v>
      </c>
      <c r="C126" s="455">
        <v>9.5227187746296904E-2</v>
      </c>
      <c r="D126" s="468">
        <v>200</v>
      </c>
      <c r="E126" s="481">
        <v>230</v>
      </c>
      <c r="F126" s="468">
        <v>260</v>
      </c>
      <c r="G126" s="468">
        <v>280</v>
      </c>
      <c r="H126" s="468">
        <v>320</v>
      </c>
    </row>
    <row r="127" spans="1:8" ht="16.5" customHeight="1" x14ac:dyDescent="0.35">
      <c r="B127" s="514" t="s">
        <v>564</v>
      </c>
      <c r="C127" s="480">
        <v>1</v>
      </c>
      <c r="D127" s="459">
        <v>9.7740720374393894E-2</v>
      </c>
      <c r="E127" s="454">
        <v>8.5631661587015406E-2</v>
      </c>
      <c r="F127" s="454">
        <v>7.5428125469664306E-2</v>
      </c>
      <c r="G127" s="454">
        <v>6.9478108907358199E-2</v>
      </c>
      <c r="H127" s="454">
        <v>5.9139886021054598E-2</v>
      </c>
    </row>
    <row r="128" spans="1:8" ht="16.5" customHeight="1" x14ac:dyDescent="0.35">
      <c r="B128" s="515"/>
      <c r="C128" s="249">
        <v>1.2</v>
      </c>
      <c r="D128" s="460">
        <v>0.10481578116753699</v>
      </c>
      <c r="E128" s="248">
        <v>9.2023186720041394E-2</v>
      </c>
      <c r="F128" s="248">
        <v>8.1369728225151497E-2</v>
      </c>
      <c r="G128" s="248">
        <v>7.5123046116871497E-2</v>
      </c>
      <c r="H128" s="248">
        <v>6.4302953006857705E-2</v>
      </c>
    </row>
    <row r="129" spans="1:9" ht="16.5" customHeight="1" x14ac:dyDescent="0.35">
      <c r="B129" s="515"/>
      <c r="C129" s="461">
        <v>1.3</v>
      </c>
      <c r="D129" s="460">
        <v>0.108370268071398</v>
      </c>
      <c r="E129" s="248">
        <v>9.5227187746296904E-2</v>
      </c>
      <c r="F129" s="248">
        <v>8.4310954201072902E-2</v>
      </c>
      <c r="G129" s="248">
        <v>7.7945732906755896E-2</v>
      </c>
      <c r="H129" s="248">
        <v>6.6879421611669904E-2</v>
      </c>
    </row>
    <row r="130" spans="1:9" ht="16.5" customHeight="1" x14ac:dyDescent="0.35">
      <c r="B130" s="515"/>
      <c r="C130" s="249">
        <v>1.5</v>
      </c>
      <c r="D130" s="460">
        <v>0.11551471999976699</v>
      </c>
      <c r="E130" s="248">
        <v>0.101654774743101</v>
      </c>
      <c r="F130" s="248">
        <v>9.0184730458598303E-2</v>
      </c>
      <c r="G130" s="248">
        <v>8.3541161963043495E-2</v>
      </c>
      <c r="H130" s="248">
        <v>7.2024955131621896E-2</v>
      </c>
    </row>
    <row r="131" spans="1:9" ht="16.5" customHeight="1" x14ac:dyDescent="0.35">
      <c r="B131" s="516"/>
      <c r="C131" s="249">
        <v>1.7</v>
      </c>
      <c r="D131" s="460">
        <v>0.122707951912001</v>
      </c>
      <c r="E131" s="248">
        <v>0.108110896796924</v>
      </c>
      <c r="F131" s="248">
        <v>9.60713802638202E-2</v>
      </c>
      <c r="G131" s="248">
        <v>8.9116067356170406E-2</v>
      </c>
      <c r="H131" s="248">
        <v>7.7148168357038305E-2</v>
      </c>
    </row>
    <row r="132" spans="1:9" ht="16.5" customHeight="1" x14ac:dyDescent="0.35">
      <c r="B132"/>
    </row>
    <row r="133" spans="1:9" ht="16.5" customHeight="1" x14ac:dyDescent="0.35">
      <c r="B133"/>
    </row>
    <row r="134" spans="1:9" ht="19.5" customHeight="1" x14ac:dyDescent="0.35">
      <c r="A134" s="432"/>
      <c r="B134" s="364" t="s">
        <v>569</v>
      </c>
      <c r="C134" s="81"/>
      <c r="D134" s="81"/>
      <c r="E134" s="81"/>
      <c r="F134" s="81"/>
      <c r="G134" s="81"/>
      <c r="H134" s="81"/>
      <c r="I134" s="81"/>
    </row>
    <row r="135" spans="1:9" ht="18" customHeight="1" x14ac:dyDescent="0.35">
      <c r="B135"/>
      <c r="D135" s="519" t="s">
        <v>566</v>
      </c>
      <c r="E135" s="520"/>
      <c r="F135" s="520"/>
      <c r="G135" s="520"/>
      <c r="H135" s="520"/>
      <c r="I135" s="520"/>
    </row>
    <row r="136" spans="1:9" ht="16.5" customHeight="1" x14ac:dyDescent="0.35">
      <c r="B136" s="433" t="s">
        <v>478</v>
      </c>
      <c r="C136" s="455">
        <v>9.5227187746296904E-2</v>
      </c>
      <c r="D136" s="468">
        <v>40</v>
      </c>
      <c r="E136" s="468">
        <v>45</v>
      </c>
      <c r="F136" s="481">
        <v>50</v>
      </c>
      <c r="G136" s="468">
        <v>55</v>
      </c>
      <c r="H136" s="468">
        <v>60</v>
      </c>
      <c r="I136" s="468">
        <v>65</v>
      </c>
    </row>
    <row r="137" spans="1:9" ht="16.5" customHeight="1" x14ac:dyDescent="0.35">
      <c r="B137" s="515" t="s">
        <v>549</v>
      </c>
      <c r="C137" s="456">
        <v>5.5E-2</v>
      </c>
      <c r="D137" s="459">
        <v>6.7110164173746406E-2</v>
      </c>
      <c r="E137" s="454">
        <v>8.9032700126587594E-2</v>
      </c>
      <c r="F137" s="454">
        <v>0.11227310880732801</v>
      </c>
      <c r="G137" s="454">
        <v>0.13669004580168401</v>
      </c>
      <c r="H137" s="454">
        <v>0.16193630000470099</v>
      </c>
      <c r="I137" s="454">
        <v>0.18771717828287601</v>
      </c>
    </row>
    <row r="138" spans="1:9" ht="16.5" customHeight="1" x14ac:dyDescent="0.35">
      <c r="B138" s="515"/>
      <c r="C138" s="457">
        <v>0.06</v>
      </c>
      <c r="D138" s="460">
        <v>6.21631562989284E-2</v>
      </c>
      <c r="E138" s="248">
        <v>8.3727269413427702E-2</v>
      </c>
      <c r="F138" s="248">
        <v>0.10658822239012899</v>
      </c>
      <c r="G138" s="248">
        <v>0.13071259360940901</v>
      </c>
      <c r="H138" s="248">
        <v>0.155751038755297</v>
      </c>
      <c r="I138" s="248">
        <v>0.18139386346001601</v>
      </c>
    </row>
    <row r="139" spans="1:9" ht="16.5" customHeight="1" x14ac:dyDescent="0.35">
      <c r="B139" s="515"/>
      <c r="C139" s="458">
        <v>7.0000000000000007E-2</v>
      </c>
      <c r="D139" s="460">
        <v>5.24280715851866E-2</v>
      </c>
      <c r="E139" s="248">
        <v>7.3007317841837102E-2</v>
      </c>
      <c r="F139" s="248">
        <v>9.5227187746296904E-2</v>
      </c>
      <c r="G139" s="248">
        <v>0.118681537850214</v>
      </c>
      <c r="H139" s="248">
        <v>0.14322724289861299</v>
      </c>
      <c r="I139" s="248">
        <v>0.168532694602535</v>
      </c>
    </row>
    <row r="140" spans="1:9" ht="16.5" customHeight="1" x14ac:dyDescent="0.35">
      <c r="B140" s="515"/>
      <c r="C140" s="457">
        <v>0.08</v>
      </c>
      <c r="D140" s="460">
        <v>4.2965165753963599E-2</v>
      </c>
      <c r="E140" s="248">
        <v>6.2487416872631499E-2</v>
      </c>
      <c r="F140" s="248">
        <v>8.3870324226570203E-2</v>
      </c>
      <c r="G140" s="248">
        <v>0.10663533314672501</v>
      </c>
      <c r="H140" s="248">
        <v>0.13057623139199001</v>
      </c>
      <c r="I140" s="248">
        <v>0.15544971292218401</v>
      </c>
    </row>
    <row r="141" spans="1:9" ht="16.5" customHeight="1" x14ac:dyDescent="0.35">
      <c r="B141" s="516"/>
      <c r="C141" s="457">
        <v>0.09</v>
      </c>
      <c r="D141" s="460">
        <v>3.3833234857830699E-2</v>
      </c>
      <c r="E141" s="248">
        <v>5.2267851215925601E-2</v>
      </c>
      <c r="F141" s="248">
        <v>7.2597749187966604E-2</v>
      </c>
      <c r="G141" s="248">
        <v>9.4682147519536297E-2</v>
      </c>
      <c r="H141" s="248">
        <v>0.117899998775466</v>
      </c>
      <c r="I141" s="248">
        <v>0.14223281541093599</v>
      </c>
    </row>
    <row r="142" spans="1:9" ht="16.5" customHeight="1" x14ac:dyDescent="0.35">
      <c r="B142"/>
    </row>
    <row r="143" spans="1:9" ht="16.5" customHeight="1" x14ac:dyDescent="0.35">
      <c r="B143"/>
    </row>
    <row r="144" spans="1:9" ht="16.5" customHeight="1" x14ac:dyDescent="0.35">
      <c r="A144" s="282" t="s">
        <v>570</v>
      </c>
      <c r="B144" s="282"/>
      <c r="C144" s="282"/>
      <c r="D144" s="282"/>
      <c r="E144" s="282"/>
      <c r="F144" s="282"/>
    </row>
    <row r="145" spans="1:6" ht="18" customHeight="1" x14ac:dyDescent="0.35">
      <c r="A145" s="364"/>
      <c r="B145" s="364" t="s">
        <v>571</v>
      </c>
      <c r="C145" s="364"/>
      <c r="D145" s="364"/>
      <c r="E145" s="364"/>
      <c r="F145" s="364"/>
    </row>
    <row r="146" spans="1:6" ht="18" customHeight="1" x14ac:dyDescent="0.35">
      <c r="B146" s="318" t="s">
        <v>572</v>
      </c>
      <c r="C146" s="318" t="s">
        <v>573</v>
      </c>
      <c r="D146" s="318" t="s">
        <v>574</v>
      </c>
      <c r="E146" s="318" t="s">
        <v>575</v>
      </c>
      <c r="F146" s="318" t="s">
        <v>576</v>
      </c>
    </row>
    <row r="147" spans="1:6" ht="16.5" customHeight="1" x14ac:dyDescent="0.35">
      <c r="B147" s="251" t="s">
        <v>562</v>
      </c>
      <c r="C147" s="441">
        <v>1.05</v>
      </c>
      <c r="D147" s="441">
        <v>0.8</v>
      </c>
      <c r="E147" s="441">
        <v>0.78</v>
      </c>
      <c r="F147" s="441">
        <v>0.8</v>
      </c>
    </row>
    <row r="148" spans="1:6" ht="16.5" customHeight="1" x14ac:dyDescent="0.35">
      <c r="B148" s="278" t="s">
        <v>563</v>
      </c>
      <c r="C148" s="442">
        <v>320</v>
      </c>
      <c r="D148" s="442">
        <v>230</v>
      </c>
      <c r="E148" s="442">
        <v>210</v>
      </c>
      <c r="F148" s="442">
        <v>230</v>
      </c>
    </row>
    <row r="149" spans="1:6" ht="16.5" customHeight="1" x14ac:dyDescent="0.35">
      <c r="B149" s="251" t="s">
        <v>544</v>
      </c>
      <c r="C149" s="441">
        <v>30</v>
      </c>
      <c r="D149" s="441">
        <v>15</v>
      </c>
      <c r="E149" s="441">
        <v>8</v>
      </c>
      <c r="F149" s="441">
        <v>15</v>
      </c>
    </row>
    <row r="150" spans="1:6" ht="16.5" customHeight="1" x14ac:dyDescent="0.35">
      <c r="B150" s="278" t="s">
        <v>322</v>
      </c>
      <c r="C150" s="442">
        <v>44</v>
      </c>
      <c r="D150" s="442">
        <v>50</v>
      </c>
      <c r="E150" s="442">
        <v>58</v>
      </c>
      <c r="F150" s="442">
        <v>53</v>
      </c>
    </row>
    <row r="151" spans="1:6" ht="16.5" customHeight="1" x14ac:dyDescent="0.35">
      <c r="B151" s="251" t="s">
        <v>577</v>
      </c>
      <c r="C151" s="288">
        <v>0.25</v>
      </c>
      <c r="D151" s="288">
        <v>0.27</v>
      </c>
      <c r="E151" s="288">
        <v>0.28999999999999998</v>
      </c>
      <c r="F151" s="288">
        <v>0.27500000000000002</v>
      </c>
    </row>
    <row r="152" spans="1:6" ht="16.5" customHeight="1" x14ac:dyDescent="0.35">
      <c r="B152" s="278" t="s">
        <v>559</v>
      </c>
      <c r="C152" s="306">
        <v>0.08</v>
      </c>
      <c r="D152" s="306">
        <v>0.04</v>
      </c>
      <c r="E152" s="306">
        <v>2.5000000000000001E-2</v>
      </c>
      <c r="F152" s="306">
        <v>0.03</v>
      </c>
    </row>
    <row r="153" spans="1:6" ht="16.5" customHeight="1" x14ac:dyDescent="0.35">
      <c r="B153" s="251" t="s">
        <v>578</v>
      </c>
      <c r="C153" s="441">
        <v>28</v>
      </c>
      <c r="D153" s="441">
        <v>35</v>
      </c>
      <c r="E153" s="441">
        <v>45</v>
      </c>
      <c r="F153" s="441">
        <v>35</v>
      </c>
    </row>
    <row r="154" spans="1:6" ht="16.5" customHeight="1" x14ac:dyDescent="0.35">
      <c r="B154" s="278" t="s">
        <v>579</v>
      </c>
      <c r="C154" s="306">
        <v>8.5000000000000006E-2</v>
      </c>
      <c r="D154" s="306">
        <v>7.0000000000000007E-2</v>
      </c>
      <c r="E154" s="306">
        <v>0.06</v>
      </c>
      <c r="F154" s="306">
        <v>7.0000000000000007E-2</v>
      </c>
    </row>
    <row r="155" spans="1:6" ht="16.5" customHeight="1" x14ac:dyDescent="0.35">
      <c r="B155" s="251" t="s">
        <v>564</v>
      </c>
      <c r="C155" s="262">
        <v>1.1000000000000001</v>
      </c>
      <c r="D155" s="262">
        <v>1.3</v>
      </c>
      <c r="E155" s="262">
        <v>1.5</v>
      </c>
      <c r="F155" s="262">
        <v>1.3</v>
      </c>
    </row>
    <row r="156" spans="1:6" ht="16.5" customHeight="1" x14ac:dyDescent="0.35">
      <c r="B156"/>
    </row>
    <row r="157" spans="1:6" ht="16.5" customHeight="1" x14ac:dyDescent="0.35">
      <c r="B157"/>
    </row>
    <row r="158" spans="1:6" ht="18" customHeight="1" x14ac:dyDescent="0.35">
      <c r="A158" s="364"/>
      <c r="B158" s="364" t="s">
        <v>580</v>
      </c>
      <c r="C158" s="364"/>
      <c r="D158" s="364"/>
      <c r="E158" s="364"/>
      <c r="F158" s="364"/>
    </row>
    <row r="159" spans="1:6" ht="18" customHeight="1" x14ac:dyDescent="0.35">
      <c r="B159" s="318" t="s">
        <v>572</v>
      </c>
      <c r="C159" s="318" t="s">
        <v>573</v>
      </c>
      <c r="D159" s="318" t="s">
        <v>574</v>
      </c>
      <c r="E159" s="318" t="s">
        <v>575</v>
      </c>
      <c r="F159" s="318" t="s">
        <v>576</v>
      </c>
    </row>
    <row r="160" spans="1:6" ht="16.5" customHeight="1" x14ac:dyDescent="0.35">
      <c r="B160" s="280" t="s">
        <v>581</v>
      </c>
      <c r="C160" s="443">
        <v>237500000</v>
      </c>
      <c r="D160" s="443">
        <v>172100000</v>
      </c>
      <c r="E160" s="443">
        <v>152500000</v>
      </c>
      <c r="F160" s="443">
        <v>172100000</v>
      </c>
    </row>
    <row r="161" spans="2:6" ht="16.5" customHeight="1" x14ac:dyDescent="0.35">
      <c r="B161" s="448" t="s">
        <v>582</v>
      </c>
      <c r="C161" s="449">
        <v>57524421.830748297</v>
      </c>
      <c r="D161" s="449">
        <v>82416648.8643924</v>
      </c>
      <c r="E161" s="449">
        <v>99125000</v>
      </c>
      <c r="F161" s="449">
        <v>88974050.391564593</v>
      </c>
    </row>
    <row r="162" spans="2:6" ht="16.5" customHeight="1" x14ac:dyDescent="0.35">
      <c r="B162" s="280" t="s">
        <v>583</v>
      </c>
      <c r="C162" s="443">
        <v>116289328.16925199</v>
      </c>
      <c r="D162" s="443">
        <v>44145601.1356076</v>
      </c>
      <c r="E162" s="443">
        <v>13276250</v>
      </c>
      <c r="F162" s="443">
        <v>37588199.6084354</v>
      </c>
    </row>
    <row r="163" spans="2:6" ht="16.5" customHeight="1" x14ac:dyDescent="0.35">
      <c r="B163" s="448" t="s">
        <v>83</v>
      </c>
      <c r="C163" s="450">
        <v>0.24220809191893999</v>
      </c>
      <c r="D163" s="450">
        <v>0.47888813982796302</v>
      </c>
      <c r="E163" s="450">
        <v>0.65</v>
      </c>
      <c r="F163" s="450">
        <v>0.51699041482605801</v>
      </c>
    </row>
    <row r="164" spans="2:6" ht="16.5" customHeight="1" x14ac:dyDescent="0.35">
      <c r="B164" s="280" t="s">
        <v>60</v>
      </c>
      <c r="C164" s="444">
        <v>1.89898641636983E-2</v>
      </c>
      <c r="D164" s="444">
        <v>7.7493201386454894E-2</v>
      </c>
      <c r="E164" s="444">
        <v>0.124642967222135</v>
      </c>
      <c r="F164" s="444">
        <v>8.6136347558034093E-2</v>
      </c>
    </row>
    <row r="165" spans="2:6" ht="16.5" customHeight="1" x14ac:dyDescent="0.35">
      <c r="B165" s="448" t="s">
        <v>68</v>
      </c>
      <c r="C165" s="450">
        <v>-2.90659057056819E-3</v>
      </c>
      <c r="D165" s="450">
        <v>9.5227187746296904E-2</v>
      </c>
      <c r="E165" s="450">
        <v>0.53923776471456197</v>
      </c>
      <c r="F165" s="450">
        <v>0.122630978788872</v>
      </c>
    </row>
    <row r="166" spans="2:6" ht="16.5" customHeight="1" x14ac:dyDescent="0.35">
      <c r="B166" s="280" t="s">
        <v>519</v>
      </c>
      <c r="C166" s="445">
        <v>1.2999542225553</v>
      </c>
      <c r="D166" s="445">
        <v>1.2999775139001499</v>
      </c>
      <c r="E166" s="445">
        <v>1.4662721522443301</v>
      </c>
      <c r="F166" s="445">
        <v>1.30015361190042</v>
      </c>
    </row>
    <row r="167" spans="2:6" ht="16.5" customHeight="1" x14ac:dyDescent="0.35">
      <c r="B167" s="448" t="s">
        <v>74</v>
      </c>
      <c r="C167" s="451">
        <v>0.95337744567086802</v>
      </c>
      <c r="D167" s="451">
        <v>3.3250194487434501</v>
      </c>
      <c r="E167" s="451">
        <v>15.875951785742901</v>
      </c>
      <c r="F167" s="451">
        <v>4.1015497857729404</v>
      </c>
    </row>
    <row r="168" spans="2:6" ht="16.5" customHeight="1" x14ac:dyDescent="0.35">
      <c r="B168" s="280" t="s">
        <v>76</v>
      </c>
      <c r="C168" s="446" t="s">
        <v>584</v>
      </c>
      <c r="D168" s="446">
        <v>11</v>
      </c>
      <c r="E168" s="446">
        <v>2</v>
      </c>
      <c r="F168" s="446">
        <v>8</v>
      </c>
    </row>
    <row r="169" spans="2:6" ht="16.5" customHeight="1" x14ac:dyDescent="0.35">
      <c r="B169" s="448" t="s">
        <v>520</v>
      </c>
      <c r="C169" s="452">
        <v>112.939891982407</v>
      </c>
      <c r="D169" s="452">
        <v>69.840048637332103</v>
      </c>
      <c r="E169" s="452">
        <v>54.406778180807699</v>
      </c>
      <c r="F169" s="452">
        <v>68.310977262669297</v>
      </c>
    </row>
    <row r="170" spans="2:6" ht="16.5" customHeight="1" x14ac:dyDescent="0.35">
      <c r="B170" s="280" t="s">
        <v>585</v>
      </c>
      <c r="C170" s="447">
        <v>15099496.699999999</v>
      </c>
      <c r="D170" s="447">
        <v>17720253.640000001</v>
      </c>
      <c r="E170" s="447">
        <v>20943610.432500001</v>
      </c>
      <c r="F170" s="447">
        <v>18697981.877500001</v>
      </c>
    </row>
  </sheetData>
  <mergeCells count="9">
    <mergeCell ref="B127:B131"/>
    <mergeCell ref="D125:H125"/>
    <mergeCell ref="B137:B141"/>
    <mergeCell ref="D135:I135"/>
    <mergeCell ref="A1:J1"/>
    <mergeCell ref="D106:I106"/>
    <mergeCell ref="B108:B111"/>
    <mergeCell ref="D115:H115"/>
    <mergeCell ref="B117:B121"/>
  </mergeCells>
  <conditionalFormatting sqref="D117:H1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7:H1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8:I11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7:I1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I14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29" sqref="C129"/>
    </sheetView>
  </sheetViews>
  <sheetFormatPr defaultColWidth="8.7265625" defaultRowHeight="14.5" x14ac:dyDescent="0.35"/>
  <cols>
    <col min="1" max="1" width="1" customWidth="1"/>
    <col min="2" max="2" width="32.1796875" bestFit="1" customWidth="1"/>
    <col min="3" max="3" width="44.1796875" bestFit="1" customWidth="1"/>
    <col min="4" max="4" width="36.54296875" bestFit="1" customWidth="1"/>
    <col min="5" max="5" width="33.54296875" bestFit="1" customWidth="1"/>
    <col min="6" max="6" width="12.54296875" bestFit="1" customWidth="1"/>
    <col min="7" max="7" width="1" customWidth="1"/>
    <col min="9" max="9" width="9.7265625" bestFit="1" customWidth="1"/>
  </cols>
  <sheetData>
    <row r="1" spans="1:7" ht="6" customHeight="1" x14ac:dyDescent="0.35">
      <c r="A1" s="524"/>
      <c r="B1" s="524"/>
      <c r="C1" s="524"/>
      <c r="D1" s="524"/>
      <c r="E1" s="524"/>
      <c r="F1" s="524"/>
      <c r="G1" s="524"/>
    </row>
    <row r="2" spans="1:7" ht="36" customHeight="1" x14ac:dyDescent="0.35">
      <c r="B2" s="525" t="s">
        <v>0</v>
      </c>
      <c r="C2" s="525"/>
      <c r="D2" s="525"/>
      <c r="E2" s="525"/>
      <c r="F2" s="525"/>
    </row>
    <row r="3" spans="1:7" ht="19.5" customHeight="1" x14ac:dyDescent="0.35">
      <c r="B3" s="526" t="s">
        <v>1</v>
      </c>
      <c r="C3" s="526"/>
      <c r="D3" s="526"/>
      <c r="E3" s="526"/>
      <c r="F3" s="526"/>
    </row>
    <row r="4" spans="1:7" ht="3" customHeight="1" x14ac:dyDescent="0.35">
      <c r="A4" s="527"/>
      <c r="B4" s="527"/>
      <c r="C4" s="527"/>
      <c r="D4" s="527"/>
      <c r="E4" s="527"/>
      <c r="F4" s="527"/>
      <c r="G4" s="527"/>
    </row>
    <row r="5" spans="1:7" ht="7.5" customHeight="1" x14ac:dyDescent="0.35">
      <c r="A5" s="528"/>
      <c r="B5" s="528"/>
      <c r="C5" s="528"/>
      <c r="D5" s="528"/>
      <c r="E5" s="528"/>
      <c r="F5" s="528"/>
      <c r="G5" s="528"/>
    </row>
    <row r="6" spans="1:7" ht="21.75" customHeight="1" x14ac:dyDescent="0.35">
      <c r="B6" s="529" t="s">
        <v>2</v>
      </c>
      <c r="C6" s="529"/>
      <c r="D6" s="529"/>
      <c r="E6" s="529"/>
      <c r="F6" s="529"/>
    </row>
    <row r="7" spans="1:7" ht="15.75" customHeight="1" x14ac:dyDescent="0.35">
      <c r="B7" s="530" t="s">
        <v>3</v>
      </c>
      <c r="C7" s="530"/>
      <c r="D7" s="530"/>
      <c r="E7" s="530"/>
      <c r="F7" s="530"/>
    </row>
    <row r="8" spans="1:7" ht="18" customHeight="1" x14ac:dyDescent="0.35">
      <c r="B8" s="4" t="s">
        <v>4</v>
      </c>
      <c r="C8" s="5" t="s">
        <v>5</v>
      </c>
      <c r="D8" s="6" t="s">
        <v>6</v>
      </c>
      <c r="E8" s="6"/>
      <c r="F8" s="6"/>
    </row>
    <row r="9" spans="1:7" ht="16.5" customHeight="1" x14ac:dyDescent="0.35">
      <c r="B9" s="7" t="s">
        <v>7</v>
      </c>
      <c r="C9" s="8" t="s">
        <v>8</v>
      </c>
      <c r="D9" s="9" t="s">
        <v>9</v>
      </c>
    </row>
    <row r="10" spans="1:7" ht="16.5" customHeight="1" x14ac:dyDescent="0.35">
      <c r="B10" s="10" t="s">
        <v>10</v>
      </c>
      <c r="C10" s="11" t="s">
        <v>11</v>
      </c>
      <c r="D10" s="12" t="s">
        <v>12</v>
      </c>
    </row>
    <row r="11" spans="1:7" ht="16.5" customHeight="1" x14ac:dyDescent="0.35">
      <c r="B11" s="7" t="s">
        <v>13</v>
      </c>
      <c r="C11" s="8" t="s">
        <v>14</v>
      </c>
      <c r="D11" s="9" t="s">
        <v>9</v>
      </c>
    </row>
    <row r="12" spans="1:7" ht="16.5" customHeight="1" x14ac:dyDescent="0.35">
      <c r="B12" s="10" t="s">
        <v>15</v>
      </c>
      <c r="C12" s="11" t="s">
        <v>16</v>
      </c>
      <c r="D12" s="12" t="s">
        <v>9</v>
      </c>
    </row>
    <row r="13" spans="1:7" ht="16.5" customHeight="1" x14ac:dyDescent="0.35">
      <c r="B13" s="7" t="s">
        <v>17</v>
      </c>
      <c r="C13" s="8" t="s">
        <v>18</v>
      </c>
      <c r="D13" s="9" t="s">
        <v>19</v>
      </c>
    </row>
    <row r="14" spans="1:7" ht="16.5" customHeight="1" x14ac:dyDescent="0.35">
      <c r="B14" s="10" t="s">
        <v>20</v>
      </c>
      <c r="C14" s="11" t="s">
        <v>21</v>
      </c>
      <c r="D14" s="12" t="s">
        <v>19</v>
      </c>
    </row>
    <row r="15" spans="1:7" ht="16.5" customHeight="1" x14ac:dyDescent="0.35">
      <c r="B15" s="7" t="s">
        <v>22</v>
      </c>
      <c r="C15" s="8" t="s">
        <v>23</v>
      </c>
      <c r="D15" s="9" t="s">
        <v>9</v>
      </c>
    </row>
    <row r="16" spans="1:7" ht="16.5" customHeight="1" x14ac:dyDescent="0.35">
      <c r="B16" s="10" t="s">
        <v>24</v>
      </c>
      <c r="C16" s="11" t="s">
        <v>25</v>
      </c>
      <c r="D16" s="12" t="s">
        <v>26</v>
      </c>
    </row>
    <row r="17" spans="2:6" ht="16.5" customHeight="1" x14ac:dyDescent="0.35">
      <c r="B17" s="7" t="s">
        <v>27</v>
      </c>
      <c r="C17" s="8" t="s">
        <v>28</v>
      </c>
      <c r="D17" s="9" t="s">
        <v>29</v>
      </c>
    </row>
    <row r="18" spans="2:6" ht="16.5" customHeight="1" x14ac:dyDescent="0.35">
      <c r="B18" s="10" t="s">
        <v>30</v>
      </c>
      <c r="C18" s="11" t="s">
        <v>31</v>
      </c>
      <c r="D18" s="12" t="s">
        <v>32</v>
      </c>
    </row>
    <row r="19" spans="2:6" ht="16.5" customHeight="1" x14ac:dyDescent="0.35">
      <c r="B19" s="7" t="s">
        <v>33</v>
      </c>
      <c r="C19" s="8" t="s">
        <v>34</v>
      </c>
      <c r="D19" s="9" t="s">
        <v>35</v>
      </c>
    </row>
    <row r="20" spans="2:6" ht="16.5" customHeight="1" x14ac:dyDescent="0.35">
      <c r="B20" s="10" t="s">
        <v>36</v>
      </c>
      <c r="C20" s="11" t="s">
        <v>37</v>
      </c>
      <c r="D20" s="12" t="s">
        <v>38</v>
      </c>
    </row>
    <row r="21" spans="2:6" ht="9.75" customHeight="1" x14ac:dyDescent="0.35"/>
    <row r="22" spans="2:6" ht="21.75" customHeight="1" x14ac:dyDescent="0.35">
      <c r="B22" s="529" t="s">
        <v>39</v>
      </c>
      <c r="C22" s="529"/>
      <c r="D22" s="529"/>
      <c r="E22" s="529"/>
      <c r="F22" s="529"/>
    </row>
    <row r="23" spans="2:6" ht="15.75" customHeight="1" x14ac:dyDescent="0.35">
      <c r="B23" s="530" t="s">
        <v>40</v>
      </c>
      <c r="C23" s="530"/>
      <c r="D23" s="530"/>
      <c r="E23" s="530"/>
      <c r="F23" s="530"/>
    </row>
    <row r="24" spans="2:6" ht="18" customHeight="1" thickBot="1" x14ac:dyDescent="0.4">
      <c r="B24" s="4" t="s">
        <v>41</v>
      </c>
      <c r="C24" s="13" t="s">
        <v>42</v>
      </c>
      <c r="D24" s="13" t="s">
        <v>43</v>
      </c>
    </row>
    <row r="25" spans="2:6" ht="16.5" customHeight="1" x14ac:dyDescent="0.35">
      <c r="B25" s="7" t="s">
        <v>45</v>
      </c>
      <c r="C25" s="16">
        <f>Costs!C4</f>
        <v>96000000</v>
      </c>
      <c r="D25" s="17">
        <f>C25/$C$31</f>
        <v>0.55781522370714698</v>
      </c>
    </row>
    <row r="26" spans="2:6" ht="16.5" customHeight="1" x14ac:dyDescent="0.35">
      <c r="B26" s="10" t="s">
        <v>47</v>
      </c>
      <c r="C26" s="20">
        <f>Costs!C5</f>
        <v>46000000</v>
      </c>
      <c r="D26" s="17">
        <f t="shared" ref="D26:D30" si="0">C26/$C$31</f>
        <v>0.2672864613596746</v>
      </c>
    </row>
    <row r="27" spans="2:6" ht="16.5" customHeight="1" x14ac:dyDescent="0.35">
      <c r="B27" s="7" t="s">
        <v>49</v>
      </c>
      <c r="C27" s="16">
        <f>Costs!C7</f>
        <v>15000000</v>
      </c>
      <c r="D27" s="17">
        <f t="shared" si="0"/>
        <v>8.7158628704241722E-2</v>
      </c>
    </row>
    <row r="28" spans="2:6" ht="16.5" customHeight="1" x14ac:dyDescent="0.35">
      <c r="B28" s="7" t="s">
        <v>369</v>
      </c>
      <c r="C28" s="16">
        <f>Costs!C8</f>
        <v>5000000</v>
      </c>
      <c r="D28" s="17">
        <f t="shared" si="0"/>
        <v>2.9052876234747241E-2</v>
      </c>
    </row>
    <row r="29" spans="2:6" ht="16.5" customHeight="1" x14ac:dyDescent="0.35">
      <c r="B29" s="7" t="s">
        <v>370</v>
      </c>
      <c r="C29" s="16">
        <f>Costs!C9</f>
        <v>7100000</v>
      </c>
      <c r="D29" s="17">
        <f t="shared" si="0"/>
        <v>4.1255084253341082E-2</v>
      </c>
    </row>
    <row r="30" spans="2:6" ht="16.5" customHeight="1" thickBot="1" x14ac:dyDescent="0.4">
      <c r="B30" s="7" t="s">
        <v>373</v>
      </c>
      <c r="C30" s="16">
        <f>Costs!C12</f>
        <v>3000000</v>
      </c>
      <c r="D30" s="17">
        <f t="shared" si="0"/>
        <v>1.7431725740848343E-2</v>
      </c>
    </row>
    <row r="31" spans="2:6" ht="18" customHeight="1" thickBot="1" x14ac:dyDescent="0.4">
      <c r="B31" s="25" t="s">
        <v>51</v>
      </c>
      <c r="C31" s="26">
        <f>SUM(C25:C30)</f>
        <v>172100000</v>
      </c>
      <c r="D31" s="27">
        <f>SUM(D25:D30)</f>
        <v>1</v>
      </c>
    </row>
    <row r="32" spans="2:6" ht="18" customHeight="1" thickBot="1" x14ac:dyDescent="0.4">
      <c r="B32" s="14" t="s">
        <v>44</v>
      </c>
      <c r="C32" s="15" t="s">
        <v>42</v>
      </c>
      <c r="D32" s="15" t="s">
        <v>43</v>
      </c>
    </row>
    <row r="33" spans="2:6" ht="18" customHeight="1" x14ac:dyDescent="0.35">
      <c r="B33" s="18" t="s">
        <v>46</v>
      </c>
      <c r="C33" s="19">
        <f>Debt!C15</f>
        <v>82417189.001075029</v>
      </c>
      <c r="D33" s="482">
        <f>C33/$C$36</f>
        <v>0.47889127833280087</v>
      </c>
    </row>
    <row r="34" spans="2:6" ht="18" customHeight="1" x14ac:dyDescent="0.35">
      <c r="B34" s="21" t="s">
        <v>48</v>
      </c>
      <c r="C34" s="22">
        <f>Debt!C4</f>
        <v>45537750</v>
      </c>
      <c r="D34" s="483">
        <f>C34/C36</f>
        <v>0.26460052295177222</v>
      </c>
    </row>
    <row r="35" spans="2:6" ht="18" customHeight="1" thickBot="1" x14ac:dyDescent="0.4">
      <c r="B35" s="23" t="s">
        <v>50</v>
      </c>
      <c r="C35" s="24">
        <f>Debt!C16</f>
        <v>44145060.998924971</v>
      </c>
      <c r="D35" s="484">
        <f>C35/C36</f>
        <v>0.2565081987154269</v>
      </c>
    </row>
    <row r="36" spans="2:6" ht="18" customHeight="1" thickBot="1" x14ac:dyDescent="0.4">
      <c r="B36" s="28" t="s">
        <v>52</v>
      </c>
      <c r="C36" s="29">
        <f>SUM(C33:C35)</f>
        <v>172100000</v>
      </c>
      <c r="D36" s="29"/>
    </row>
    <row r="37" spans="2:6" ht="16.5" customHeight="1" x14ac:dyDescent="0.35">
      <c r="B37" s="30" t="s">
        <v>53</v>
      </c>
      <c r="C37" s="31">
        <f>C31-C36</f>
        <v>0</v>
      </c>
      <c r="D37" s="32" t="str">
        <f>IF(C37=0,"✓  Capital stack closes", "X Capital stack does not close")</f>
        <v>✓  Capital stack closes</v>
      </c>
    </row>
    <row r="38" spans="2:6" ht="9.75" customHeight="1" x14ac:dyDescent="0.35"/>
    <row r="39" spans="2:6" ht="21.75" customHeight="1" x14ac:dyDescent="0.35">
      <c r="B39" s="529" t="s">
        <v>54</v>
      </c>
      <c r="C39" s="529"/>
      <c r="D39" s="529"/>
      <c r="E39" s="529"/>
      <c r="F39" s="529"/>
    </row>
    <row r="40" spans="2:6" ht="15.75" customHeight="1" x14ac:dyDescent="0.35">
      <c r="B40" s="530" t="s">
        <v>55</v>
      </c>
      <c r="C40" s="530"/>
      <c r="D40" s="530"/>
      <c r="E40" s="530"/>
      <c r="F40" s="530"/>
    </row>
    <row r="41" spans="2:6" ht="18" customHeight="1" x14ac:dyDescent="0.35">
      <c r="B41" s="531" t="s">
        <v>56</v>
      </c>
      <c r="C41" s="531"/>
      <c r="D41" s="531"/>
      <c r="E41" s="531"/>
      <c r="F41" s="531"/>
    </row>
    <row r="42" spans="2:6" ht="18" customHeight="1" thickBot="1" x14ac:dyDescent="0.4">
      <c r="B42" s="33" t="s">
        <v>57</v>
      </c>
      <c r="C42" s="34" t="s">
        <v>5</v>
      </c>
      <c r="D42" s="34" t="s">
        <v>58</v>
      </c>
      <c r="E42" s="34" t="s">
        <v>59</v>
      </c>
      <c r="F42" s="34"/>
    </row>
    <row r="43" spans="2:6" ht="16.5" customHeight="1" x14ac:dyDescent="0.35">
      <c r="B43" s="23" t="s">
        <v>60</v>
      </c>
      <c r="C43" s="35">
        <f>Cashflows!C47</f>
        <v>7.749320138645488E-2</v>
      </c>
      <c r="D43" s="36" t="s">
        <v>61</v>
      </c>
      <c r="E43" s="37" t="str">
        <f>IF(C43&gt;=0.07,"✓  Accretive", "⚠  Below target")</f>
        <v>✓  Accretive</v>
      </c>
    </row>
    <row r="44" spans="2:6" ht="16.5" customHeight="1" x14ac:dyDescent="0.35">
      <c r="B44" s="23" t="s">
        <v>62</v>
      </c>
      <c r="C44" s="38">
        <f>Cashflows!C17</f>
        <v>8233492.1253400743</v>
      </c>
      <c r="D44" s="36" t="s">
        <v>63</v>
      </c>
      <c r="E44" s="37" t="str">
        <f>IF(C44&gt;0,"✓  Positive","⚠  Below hurdle")</f>
        <v>✓  Positive</v>
      </c>
    </row>
    <row r="45" spans="2:6" ht="16.5" customHeight="1" x14ac:dyDescent="0.35">
      <c r="B45" s="7" t="s">
        <v>64</v>
      </c>
      <c r="C45" s="16">
        <f>Cashflows!C53</f>
        <v>524378451.56539065</v>
      </c>
      <c r="D45" s="9" t="s">
        <v>65</v>
      </c>
      <c r="E45" s="39"/>
    </row>
    <row r="46" spans="2:6" ht="16.5" customHeight="1" x14ac:dyDescent="0.35">
      <c r="B46" s="10" t="s">
        <v>66</v>
      </c>
      <c r="C46" s="20">
        <f>Cashflows!C54</f>
        <v>181755136.85895249</v>
      </c>
      <c r="D46" s="12" t="s">
        <v>65</v>
      </c>
      <c r="E46" s="39"/>
    </row>
    <row r="47" spans="2:6" ht="16.5" customHeight="1" x14ac:dyDescent="0.35">
      <c r="B47" s="7" t="s">
        <v>590</v>
      </c>
      <c r="C47" s="16">
        <f>SUM(Cashflows!C12:AG12)</f>
        <v>56347317.933859684</v>
      </c>
      <c r="D47" s="9" t="s">
        <v>65</v>
      </c>
      <c r="E47" s="39"/>
    </row>
    <row r="48" spans="2:6" ht="7.5" customHeight="1" x14ac:dyDescent="0.35"/>
    <row r="49" spans="2:9" ht="18" customHeight="1" x14ac:dyDescent="0.35">
      <c r="B49" s="532" t="s">
        <v>67</v>
      </c>
      <c r="C49" s="532"/>
      <c r="D49" s="532"/>
      <c r="E49" s="532"/>
      <c r="F49" s="532"/>
    </row>
    <row r="50" spans="2:9" ht="16.5" customHeight="1" x14ac:dyDescent="0.35">
      <c r="B50" s="40" t="s">
        <v>68</v>
      </c>
      <c r="C50" s="41">
        <f>Cashflows!C48</f>
        <v>9.5227461158185145E-2</v>
      </c>
      <c r="D50" s="42" t="s">
        <v>69</v>
      </c>
      <c r="E50" s="37" t="str">
        <f>IF(C50&gt;=0.12,"✓  Accretive", "⚠  Below target")</f>
        <v>⚠  Below target</v>
      </c>
    </row>
    <row r="51" spans="2:9" ht="16.5" customHeight="1" x14ac:dyDescent="0.35">
      <c r="B51" s="21" t="s">
        <v>70</v>
      </c>
      <c r="C51" s="43">
        <f>IF(Inputs!D101-Outputs!C50&gt;0,Inputs!D101-Outputs!C50,0)</f>
        <v>2.4772538841814851E-2</v>
      </c>
      <c r="D51" s="44" t="s">
        <v>71</v>
      </c>
      <c r="E51" s="39"/>
    </row>
    <row r="52" spans="2:9" ht="16.5" customHeight="1" x14ac:dyDescent="0.35">
      <c r="B52" s="45" t="s">
        <v>72</v>
      </c>
      <c r="C52" s="46">
        <f>Cashflows!C38</f>
        <v>-8072800.8158642054</v>
      </c>
      <c r="D52" s="42" t="s">
        <v>73</v>
      </c>
      <c r="E52" s="37" t="str">
        <f>IF(C52&gt;0,"✓  Positive","⚠  Below hurdle")</f>
        <v>⚠  Below hurdle</v>
      </c>
    </row>
    <row r="53" spans="2:9" ht="16.5" customHeight="1" x14ac:dyDescent="0.35">
      <c r="B53" s="47" t="s">
        <v>74</v>
      </c>
      <c r="C53" s="48">
        <f>Cashflows!C51</f>
        <v>3.3250394233032048</v>
      </c>
      <c r="D53" s="36" t="s">
        <v>75</v>
      </c>
      <c r="E53" s="37" t="str">
        <f>IF(C53&gt;=2,"✓  Above 2.0x","⚠  Below target")</f>
        <v>✓  Above 2.0x</v>
      </c>
    </row>
    <row r="54" spans="2:9" ht="16.5" customHeight="1" x14ac:dyDescent="0.35">
      <c r="B54" s="23" t="s">
        <v>76</v>
      </c>
      <c r="C54" s="49">
        <f>Cashflows!C52</f>
        <v>11</v>
      </c>
      <c r="D54" s="36" t="s">
        <v>77</v>
      </c>
      <c r="E54" s="37" t="str">
        <f>IF(C54&lt;=20,"✓  Strong","⚠  Below target")</f>
        <v>✓  Strong</v>
      </c>
    </row>
    <row r="55" spans="2:9" ht="16.5" customHeight="1" x14ac:dyDescent="0.35">
      <c r="B55" s="7" t="s">
        <v>78</v>
      </c>
      <c r="C55" s="16">
        <f>Cashflows!C57</f>
        <v>147479529.23938453</v>
      </c>
      <c r="D55" s="9" t="s">
        <v>65</v>
      </c>
      <c r="E55" s="39"/>
    </row>
    <row r="56" spans="2:9" ht="16.5" customHeight="1" x14ac:dyDescent="0.35">
      <c r="B56" s="7" t="s">
        <v>486</v>
      </c>
      <c r="C56" s="20">
        <f>Cashflows!C55</f>
        <v>48359717.301503345</v>
      </c>
      <c r="D56" s="12" t="s">
        <v>65</v>
      </c>
      <c r="E56" s="39"/>
      <c r="I56" s="485"/>
    </row>
    <row r="57" spans="2:9" ht="16.5" customHeight="1" x14ac:dyDescent="0.35">
      <c r="B57" s="10" t="s">
        <v>79</v>
      </c>
      <c r="C57" s="20">
        <f>Cashflows!C56</f>
        <v>7987600.6323563363</v>
      </c>
      <c r="D57" s="12" t="s">
        <v>65</v>
      </c>
      <c r="E57" s="39"/>
    </row>
    <row r="58" spans="2:9" ht="7.5" customHeight="1" x14ac:dyDescent="0.35"/>
    <row r="59" spans="2:9" ht="18" customHeight="1" x14ac:dyDescent="0.35">
      <c r="B59" s="531" t="s">
        <v>80</v>
      </c>
      <c r="C59" s="531"/>
      <c r="D59" s="531"/>
      <c r="E59" s="531"/>
      <c r="F59" s="531"/>
    </row>
    <row r="60" spans="2:9" ht="16.5" customHeight="1" x14ac:dyDescent="0.35">
      <c r="B60" s="7" t="s">
        <v>81</v>
      </c>
      <c r="C60" s="16">
        <f>Debt!C15</f>
        <v>82417189.001075029</v>
      </c>
      <c r="D60" s="9" t="s">
        <v>82</v>
      </c>
      <c r="E60" s="39"/>
    </row>
    <row r="61" spans="2:9" ht="16.5" customHeight="1" x14ac:dyDescent="0.35">
      <c r="B61" s="23" t="s">
        <v>83</v>
      </c>
      <c r="C61" s="35">
        <f>Debt!C17</f>
        <v>0.47889127833280087</v>
      </c>
      <c r="D61" s="36" t="s">
        <v>84</v>
      </c>
      <c r="E61" s="37" t="str">
        <f>IF(C61&lt;0.65,"✓  Within cap","⚠  Above cap")</f>
        <v>✓  Within cap</v>
      </c>
    </row>
    <row r="62" spans="2:9" ht="16.5" customHeight="1" x14ac:dyDescent="0.35">
      <c r="B62" s="10" t="s">
        <v>85</v>
      </c>
      <c r="C62" s="11" t="str">
        <f>Debt!C14</f>
        <v>DSCR Floor</v>
      </c>
      <c r="D62" s="12" t="s">
        <v>65</v>
      </c>
      <c r="E62" s="39"/>
    </row>
    <row r="63" spans="2:9" ht="16.5" customHeight="1" x14ac:dyDescent="0.35">
      <c r="B63" s="7" t="s">
        <v>86</v>
      </c>
      <c r="C63" s="16">
        <f>Debt!C10</f>
        <v>8193307.1799658062</v>
      </c>
      <c r="D63" s="9" t="s">
        <v>65</v>
      </c>
      <c r="E63" s="39"/>
    </row>
    <row r="64" spans="2:9" ht="16.5" customHeight="1" x14ac:dyDescent="0.35">
      <c r="B64" s="10" t="s">
        <v>87</v>
      </c>
      <c r="C64" s="11" t="str">
        <f>_xlfn.CONCAT(Debt!C9," years / ",TEXT(Debt!C8,"0.0%"))</f>
        <v>18 years / 7.0%</v>
      </c>
      <c r="D64" s="12" t="s">
        <v>88</v>
      </c>
      <c r="E64" s="39"/>
    </row>
    <row r="65" spans="2:6" ht="16.5" customHeight="1" x14ac:dyDescent="0.35">
      <c r="B65" s="23" t="s">
        <v>89</v>
      </c>
      <c r="C65" s="48">
        <f>Debt!C11</f>
        <v>1.2999690842875824</v>
      </c>
      <c r="D65" s="36" t="s">
        <v>90</v>
      </c>
      <c r="E65" s="37" t="str">
        <f>IF(ROUND(C65,2)&gt;=1.3,"✓  At floor","⚠  Below hurdle")</f>
        <v>✓  At floor</v>
      </c>
    </row>
    <row r="66" spans="2:6" ht="16.5" customHeight="1" x14ac:dyDescent="0.35">
      <c r="B66" s="7" t="s">
        <v>91</v>
      </c>
      <c r="C66" s="50">
        <f>Debt!C50</f>
        <v>1.4417196387861249</v>
      </c>
      <c r="D66" s="9" t="s">
        <v>65</v>
      </c>
      <c r="E66" s="39"/>
    </row>
    <row r="67" spans="2:6" ht="16.5" customHeight="1" x14ac:dyDescent="0.35">
      <c r="B67" s="23" t="s">
        <v>92</v>
      </c>
      <c r="C67" s="51">
        <f>Debt!C51</f>
        <v>1.6159535275785004</v>
      </c>
      <c r="D67" s="36" t="s">
        <v>93</v>
      </c>
      <c r="E67" s="37" t="str">
        <f>IF(ROUND(C67,2)&gt;=1.1,"✓  Clear","⚠  Below hurdle")</f>
        <v>✓  Clear</v>
      </c>
    </row>
    <row r="68" spans="2:6" ht="9.75" customHeight="1" x14ac:dyDescent="0.35"/>
    <row r="69" spans="2:6" ht="21.75" customHeight="1" x14ac:dyDescent="0.35">
      <c r="B69" s="529" t="s">
        <v>94</v>
      </c>
      <c r="C69" s="529"/>
      <c r="D69" s="529"/>
      <c r="E69" s="529"/>
      <c r="F69" s="529"/>
    </row>
    <row r="70" spans="2:6" ht="15.75" customHeight="1" x14ac:dyDescent="0.35">
      <c r="B70" s="530" t="s">
        <v>95</v>
      </c>
      <c r="C70" s="530"/>
      <c r="D70" s="530"/>
      <c r="E70" s="530"/>
      <c r="F70" s="530"/>
    </row>
    <row r="71" spans="2:6" ht="18" customHeight="1" x14ac:dyDescent="0.35">
      <c r="B71" s="531" t="s">
        <v>96</v>
      </c>
      <c r="C71" s="531"/>
      <c r="D71" s="531"/>
      <c r="E71" s="531"/>
      <c r="F71" s="531"/>
    </row>
    <row r="72" spans="2:6" ht="18" customHeight="1" thickBot="1" x14ac:dyDescent="0.4">
      <c r="B72" s="33" t="s">
        <v>97</v>
      </c>
      <c r="C72" s="34" t="s">
        <v>98</v>
      </c>
      <c r="D72" s="34" t="s">
        <v>43</v>
      </c>
      <c r="E72" s="52" t="s">
        <v>99</v>
      </c>
      <c r="F72" s="52"/>
    </row>
    <row r="73" spans="2:6" ht="16.5" customHeight="1" x14ac:dyDescent="0.35">
      <c r="B73" s="18" t="s">
        <v>100</v>
      </c>
      <c r="C73" s="19">
        <f>Revenue!C11</f>
        <v>11182665.6</v>
      </c>
      <c r="D73" s="53">
        <f>C73/C77</f>
        <v>0.63106690384822273</v>
      </c>
      <c r="E73" s="54" t="s">
        <v>101</v>
      </c>
    </row>
    <row r="74" spans="2:6" ht="16.5" customHeight="1" x14ac:dyDescent="0.35">
      <c r="B74" s="21" t="s">
        <v>102</v>
      </c>
      <c r="C74" s="22">
        <f>Revenue!C29</f>
        <v>2172588.04</v>
      </c>
      <c r="D74" s="55">
        <f>C74/$C$77</f>
        <v>0.12260479359594539</v>
      </c>
      <c r="E74" s="44" t="s">
        <v>103</v>
      </c>
    </row>
    <row r="75" spans="2:6" ht="16.5" customHeight="1" x14ac:dyDescent="0.35">
      <c r="B75" s="21" t="s">
        <v>104</v>
      </c>
      <c r="C75" s="22">
        <f>Revenue!C36</f>
        <v>3240000</v>
      </c>
      <c r="D75" s="55">
        <f t="shared" ref="D75:D76" si="1">C75/$C$77</f>
        <v>0.18284162663938031</v>
      </c>
      <c r="E75" s="44" t="s">
        <v>105</v>
      </c>
    </row>
    <row r="76" spans="2:6" ht="16.5" customHeight="1" x14ac:dyDescent="0.35">
      <c r="B76" s="21" t="s">
        <v>106</v>
      </c>
      <c r="C76" s="22">
        <f>Revenue!C47</f>
        <v>1125000</v>
      </c>
      <c r="D76" s="55">
        <f t="shared" si="1"/>
        <v>6.348667591645149E-2</v>
      </c>
      <c r="E76" s="44" t="s">
        <v>107</v>
      </c>
    </row>
    <row r="77" spans="2:6" ht="18" customHeight="1" x14ac:dyDescent="0.35">
      <c r="B77" s="56" t="s">
        <v>108</v>
      </c>
      <c r="C77" s="57">
        <f>SUM(C73:C76)</f>
        <v>17720253.640000001</v>
      </c>
      <c r="D77" s="58">
        <f>SUM(D73:D76)</f>
        <v>1</v>
      </c>
    </row>
    <row r="78" spans="2:6" ht="7.5" customHeight="1" x14ac:dyDescent="0.35"/>
    <row r="79" spans="2:6" ht="18" customHeight="1" x14ac:dyDescent="0.35">
      <c r="B79" s="531" t="s">
        <v>109</v>
      </c>
      <c r="C79" s="531"/>
      <c r="D79" s="531"/>
      <c r="E79" s="531"/>
      <c r="F79" s="531"/>
    </row>
    <row r="80" spans="2:6" ht="18" customHeight="1" x14ac:dyDescent="0.35">
      <c r="B80" s="33" t="s">
        <v>110</v>
      </c>
      <c r="C80" s="34" t="s">
        <v>98</v>
      </c>
      <c r="D80" s="34" t="s">
        <v>111</v>
      </c>
      <c r="E80" s="34"/>
      <c r="F80" s="34"/>
    </row>
    <row r="81" spans="2:6" ht="16.5" customHeight="1" x14ac:dyDescent="0.35">
      <c r="B81" s="7" t="s">
        <v>112</v>
      </c>
      <c r="C81" s="16">
        <f>Costs!C19</f>
        <v>1000000</v>
      </c>
      <c r="D81" s="17">
        <f>C81/$C$77</f>
        <v>5.6432600814623556E-2</v>
      </c>
    </row>
    <row r="82" spans="2:6" ht="16.5" customHeight="1" x14ac:dyDescent="0.35">
      <c r="B82" s="10" t="s">
        <v>113</v>
      </c>
      <c r="C82" s="20">
        <f>Costs!C20</f>
        <v>1600000</v>
      </c>
      <c r="D82" s="17">
        <f t="shared" ref="D82:D86" si="2">C82/$C$77</f>
        <v>9.0292161303397678E-2</v>
      </c>
    </row>
    <row r="83" spans="2:6" ht="16.5" customHeight="1" x14ac:dyDescent="0.35">
      <c r="B83" s="7" t="s">
        <v>114</v>
      </c>
      <c r="C83" s="16">
        <f>Costs!C21</f>
        <v>300000</v>
      </c>
      <c r="D83" s="17">
        <f t="shared" si="2"/>
        <v>1.6929780244387065E-2</v>
      </c>
    </row>
    <row r="84" spans="2:6" ht="16.5" customHeight="1" x14ac:dyDescent="0.35">
      <c r="B84" s="10" t="s">
        <v>115</v>
      </c>
      <c r="C84" s="20">
        <f>Costs!C22</f>
        <v>430250</v>
      </c>
      <c r="D84" s="17">
        <f t="shared" si="2"/>
        <v>2.4280126500491783E-2</v>
      </c>
    </row>
    <row r="85" spans="2:6" ht="16.5" customHeight="1" x14ac:dyDescent="0.35">
      <c r="B85" s="7" t="s">
        <v>116</v>
      </c>
      <c r="C85" s="16">
        <f>Costs!C23</f>
        <v>150000</v>
      </c>
      <c r="D85" s="17">
        <f t="shared" si="2"/>
        <v>8.4648901221935323E-3</v>
      </c>
    </row>
    <row r="86" spans="2:6" ht="16.5" customHeight="1" x14ac:dyDescent="0.35">
      <c r="B86" s="10" t="s">
        <v>117</v>
      </c>
      <c r="C86" s="20">
        <f>Costs!C24</f>
        <v>1000000</v>
      </c>
      <c r="D86" s="17">
        <f t="shared" si="2"/>
        <v>5.6432600814623556E-2</v>
      </c>
    </row>
    <row r="87" spans="2:6" ht="18" customHeight="1" x14ac:dyDescent="0.35">
      <c r="B87" s="56" t="s">
        <v>118</v>
      </c>
      <c r="C87" s="57">
        <f>Costs!C25</f>
        <v>4480250</v>
      </c>
      <c r="D87" s="58">
        <f>C87/C77</f>
        <v>0.25283215979971718</v>
      </c>
    </row>
    <row r="88" spans="2:6" ht="18" customHeight="1" x14ac:dyDescent="0.35">
      <c r="B88" s="25" t="s">
        <v>119</v>
      </c>
      <c r="C88" s="26">
        <f>Cashflows!D25</f>
        <v>13240003.640000001</v>
      </c>
      <c r="D88" s="27">
        <f>C88/C77</f>
        <v>0.74716784020028282</v>
      </c>
    </row>
    <row r="89" spans="2:6" ht="9.75" customHeight="1" x14ac:dyDescent="0.35"/>
    <row r="90" spans="2:6" ht="21.75" customHeight="1" x14ac:dyDescent="0.35">
      <c r="B90" s="529" t="s">
        <v>120</v>
      </c>
      <c r="C90" s="529"/>
      <c r="D90" s="529"/>
      <c r="E90" s="529"/>
      <c r="F90" s="529"/>
    </row>
    <row r="91" spans="2:6" ht="15.75" customHeight="1" x14ac:dyDescent="0.35">
      <c r="B91" s="530" t="s">
        <v>121</v>
      </c>
      <c r="C91" s="530"/>
      <c r="D91" s="530"/>
      <c r="E91" s="530"/>
      <c r="F91" s="530"/>
    </row>
    <row r="92" spans="2:6" ht="18" customHeight="1" x14ac:dyDescent="0.35">
      <c r="B92" s="33" t="s">
        <v>57</v>
      </c>
      <c r="C92" s="34" t="s">
        <v>5</v>
      </c>
      <c r="D92" s="34" t="s">
        <v>122</v>
      </c>
      <c r="E92" s="34" t="s">
        <v>59</v>
      </c>
      <c r="F92" s="34"/>
    </row>
    <row r="93" spans="2:6" ht="16.5" customHeight="1" x14ac:dyDescent="0.35">
      <c r="B93" s="7" t="s">
        <v>123</v>
      </c>
      <c r="C93" s="59">
        <f>LCOE!C5</f>
        <v>90.882282953295103</v>
      </c>
      <c r="D93" s="9" t="s">
        <v>124</v>
      </c>
      <c r="E93" s="39"/>
    </row>
    <row r="94" spans="2:6" ht="16.5" customHeight="1" x14ac:dyDescent="0.35">
      <c r="B94" s="47" t="s">
        <v>125</v>
      </c>
      <c r="C94" s="60">
        <f>LCOE!C11</f>
        <v>69.840048637332046</v>
      </c>
      <c r="D94" s="36" t="s">
        <v>126</v>
      </c>
      <c r="E94" s="37" t="str">
        <f>IF(LCOE!C34="Within range","✓  Within range","⚠  Outside range")</f>
        <v>✓  Within range</v>
      </c>
    </row>
    <row r="95" spans="2:6" ht="16.5" customHeight="1" x14ac:dyDescent="0.35">
      <c r="B95" s="23" t="s">
        <v>127</v>
      </c>
      <c r="C95" s="60">
        <f>LCOE!C16</f>
        <v>50</v>
      </c>
      <c r="D95" s="36" t="s">
        <v>128</v>
      </c>
      <c r="E95" s="37" t="str">
        <f>IF(AND(C95&gt;=40,C95&lt;=65),"✓  Within market","⚠  Outside range")</f>
        <v>✓  Within market</v>
      </c>
    </row>
    <row r="96" spans="2:6" ht="16.5" customHeight="1" x14ac:dyDescent="0.35">
      <c r="B96" s="47" t="s">
        <v>129</v>
      </c>
      <c r="C96" s="60">
        <f>LCOE!C25</f>
        <v>55.4173475217085</v>
      </c>
      <c r="D96" s="36" t="s">
        <v>128</v>
      </c>
      <c r="E96" s="37" t="str">
        <f>IF(AND(C96&gt;=40,C96&lt;=65),"✓  Achievable","⚠  Outside range")</f>
        <v>✓  Achievable</v>
      </c>
    </row>
    <row r="97" spans="2:6" ht="16.5" customHeight="1" x14ac:dyDescent="0.35">
      <c r="B97" s="45" t="s">
        <v>130</v>
      </c>
      <c r="C97" s="61">
        <f>LCOE!C21</f>
        <v>2.4772538841814851E-2</v>
      </c>
      <c r="D97" s="42" t="s">
        <v>131</v>
      </c>
      <c r="E97" s="37" t="str">
        <f>IF(C97&gt;=0.12,"✓  Accretive", "⚠  Below target")</f>
        <v>⚠  Below target</v>
      </c>
    </row>
    <row r="98" spans="2:6" ht="9.75" customHeight="1" x14ac:dyDescent="0.35"/>
    <row r="99" spans="2:6" ht="21.75" customHeight="1" x14ac:dyDescent="0.35">
      <c r="B99" s="529" t="s">
        <v>132</v>
      </c>
      <c r="C99" s="529"/>
      <c r="D99" s="529"/>
      <c r="E99" s="529"/>
      <c r="F99" s="529"/>
    </row>
    <row r="100" spans="2:6" ht="15.75" customHeight="1" x14ac:dyDescent="0.35">
      <c r="B100" s="530" t="s">
        <v>133</v>
      </c>
      <c r="C100" s="530"/>
      <c r="D100" s="530"/>
      <c r="E100" s="530"/>
      <c r="F100" s="530"/>
    </row>
    <row r="101" spans="2:6" ht="18" customHeight="1" x14ac:dyDescent="0.35">
      <c r="B101" s="62" t="s">
        <v>134</v>
      </c>
      <c r="C101" s="63" t="s">
        <v>5</v>
      </c>
      <c r="D101" s="64" t="s">
        <v>135</v>
      </c>
      <c r="E101" s="3"/>
    </row>
    <row r="102" spans="2:6" ht="15.75" customHeight="1" x14ac:dyDescent="0.35">
      <c r="B102" s="18" t="s">
        <v>17</v>
      </c>
      <c r="C102" s="65" t="str">
        <f>_xlfn.CONCAT(TEXT(Inputs!D13, "0%")," (AC basis)")</f>
        <v>27% (AC basis)</v>
      </c>
      <c r="D102" s="54" t="s">
        <v>136</v>
      </c>
      <c r="E102" s="66"/>
    </row>
    <row r="103" spans="2:6" ht="15.75" customHeight="1" x14ac:dyDescent="0.35">
      <c r="B103" s="10" t="s">
        <v>20</v>
      </c>
      <c r="C103" s="67" t="str">
        <f>_xlfn.CONCAT(TEXT(Inputs!D14, "0%")," (AC basis)")</f>
        <v>24% (AC basis)</v>
      </c>
      <c r="D103" s="12" t="s">
        <v>137</v>
      </c>
      <c r="E103" s="68"/>
    </row>
    <row r="104" spans="2:6" ht="15.75" customHeight="1" x14ac:dyDescent="0.35">
      <c r="B104" s="18" t="s">
        <v>138</v>
      </c>
      <c r="C104" s="65" t="str">
        <f>_xlfn.CONCAT(TEXT(Inputs!D15,"0.0%")," / year")</f>
        <v>0.5% / year</v>
      </c>
      <c r="D104" s="54" t="s">
        <v>139</v>
      </c>
      <c r="E104" s="66"/>
    </row>
    <row r="105" spans="2:6" ht="15.75" customHeight="1" x14ac:dyDescent="0.35">
      <c r="B105" s="10" t="s">
        <v>140</v>
      </c>
      <c r="C105" s="67" t="str">
        <f>_xlfn.CONCAT(TEXT(Inputs!D26,"0.0%")," / year")</f>
        <v>2.5% / year</v>
      </c>
      <c r="D105" s="12" t="s">
        <v>88</v>
      </c>
      <c r="E105" s="68"/>
    </row>
    <row r="106" spans="2:6" ht="15.75" customHeight="1" x14ac:dyDescent="0.35">
      <c r="B106" s="18" t="s">
        <v>141</v>
      </c>
      <c r="C106" s="65">
        <f>Inputs!D24</f>
        <v>1.3</v>
      </c>
      <c r="D106" s="54" t="s">
        <v>142</v>
      </c>
      <c r="E106" s="66"/>
    </row>
    <row r="107" spans="2:6" ht="15.75" customHeight="1" x14ac:dyDescent="0.35">
      <c r="B107" s="10" t="s">
        <v>143</v>
      </c>
      <c r="C107" s="490">
        <f>Inputs!D17</f>
        <v>0.04</v>
      </c>
      <c r="D107" s="12" t="s">
        <v>29</v>
      </c>
      <c r="E107" s="68"/>
    </row>
    <row r="108" spans="2:6" ht="15.75" customHeight="1" x14ac:dyDescent="0.35">
      <c r="B108" s="18" t="s">
        <v>144</v>
      </c>
      <c r="C108" s="488">
        <f>Inputs!D25</f>
        <v>0.85</v>
      </c>
      <c r="D108" s="54" t="s">
        <v>145</v>
      </c>
      <c r="E108" s="66"/>
    </row>
    <row r="109" spans="2:6" ht="18" customHeight="1" x14ac:dyDescent="0.35">
      <c r="B109" s="62" t="s">
        <v>146</v>
      </c>
      <c r="C109" s="63" t="s">
        <v>5</v>
      </c>
      <c r="D109" s="64" t="s">
        <v>135</v>
      </c>
      <c r="E109" s="3"/>
    </row>
    <row r="110" spans="2:6" ht="15.75" customHeight="1" x14ac:dyDescent="0.35">
      <c r="B110" s="21" t="s">
        <v>147</v>
      </c>
      <c r="C110" s="69" t="str">
        <f>_xlfn.CONCAT(TEXT(Inputs!D51,"$0.00"),"/Wdc")</f>
        <v>$0.80/Wdc</v>
      </c>
      <c r="D110" s="44" t="s">
        <v>148</v>
      </c>
      <c r="E110" s="70"/>
    </row>
    <row r="111" spans="2:6" ht="15.75" customHeight="1" x14ac:dyDescent="0.35">
      <c r="B111" s="10" t="s">
        <v>149</v>
      </c>
      <c r="C111" s="67" t="str">
        <f>_xlfn.CONCAT(TEXT(Inputs!D52,"$0"),"/kWh")</f>
        <v>$230/kWh</v>
      </c>
      <c r="D111" s="12" t="s">
        <v>150</v>
      </c>
      <c r="E111" s="68"/>
    </row>
    <row r="112" spans="2:6" ht="15.75" customHeight="1" x14ac:dyDescent="0.35">
      <c r="B112" s="21" t="s">
        <v>49</v>
      </c>
      <c r="C112" s="69" t="str">
        <f>TEXT(Inputs!D53,"$0")&amp;"M"</f>
        <v>$15M</v>
      </c>
      <c r="D112" s="44" t="s">
        <v>151</v>
      </c>
      <c r="E112" s="70"/>
    </row>
    <row r="113" spans="2:5" ht="15.75" customHeight="1" x14ac:dyDescent="0.35">
      <c r="B113" s="10" t="s">
        <v>152</v>
      </c>
      <c r="C113" s="67" t="str">
        <f>_xlfn.CONCAT(TEXT(Inputs!D65,"0.0%")," / year")</f>
        <v>2.0% / year</v>
      </c>
      <c r="D113" s="12" t="s">
        <v>153</v>
      </c>
      <c r="E113" s="68"/>
    </row>
    <row r="114" spans="2:5" ht="18" customHeight="1" x14ac:dyDescent="0.35">
      <c r="B114" s="62" t="s">
        <v>154</v>
      </c>
      <c r="C114" s="63" t="s">
        <v>5</v>
      </c>
      <c r="D114" s="64" t="s">
        <v>135</v>
      </c>
      <c r="E114" s="3"/>
    </row>
    <row r="115" spans="2:5" ht="15.75" customHeight="1" x14ac:dyDescent="0.35">
      <c r="B115" s="23" t="s">
        <v>155</v>
      </c>
      <c r="C115" s="71" t="str">
        <f>_xlfn.CONCAT(TEXT(Inputs!D30,"$0"),"/MWh")</f>
        <v>$50/MWh</v>
      </c>
      <c r="D115" s="36" t="s">
        <v>29</v>
      </c>
      <c r="E115" s="72"/>
    </row>
    <row r="116" spans="2:5" ht="15.75" customHeight="1" x14ac:dyDescent="0.35">
      <c r="B116" s="10" t="s">
        <v>156</v>
      </c>
      <c r="C116" s="67" t="str">
        <f>_xlfn.CONCAT(TEXT(Inputs!D31,"0.0%")," / year")</f>
        <v>1.0% / year</v>
      </c>
      <c r="D116" s="12" t="s">
        <v>157</v>
      </c>
      <c r="E116" s="68"/>
    </row>
    <row r="117" spans="2:5" ht="15.75" customHeight="1" x14ac:dyDescent="0.35">
      <c r="B117" s="23" t="s">
        <v>158</v>
      </c>
      <c r="C117" s="71" t="str">
        <f>Inputs!D32&amp;" years"</f>
        <v>20 years</v>
      </c>
      <c r="D117" s="36" t="s">
        <v>157</v>
      </c>
      <c r="E117" s="72"/>
    </row>
    <row r="118" spans="2:5" ht="15.75" customHeight="1" x14ac:dyDescent="0.35">
      <c r="B118" s="10" t="s">
        <v>159</v>
      </c>
      <c r="C118" s="67" t="str">
        <f>_xlfn.CONCAT(TEXT(Inputs!D33,"$0"),"/MWh flat real")</f>
        <v>$35/MWh flat real</v>
      </c>
      <c r="D118" s="12" t="s">
        <v>160</v>
      </c>
      <c r="E118" s="68"/>
    </row>
    <row r="119" spans="2:5" ht="15.75" customHeight="1" x14ac:dyDescent="0.35">
      <c r="B119" s="23" t="s">
        <v>161</v>
      </c>
      <c r="C119" s="71" t="str">
        <f>_xlfn.CONCAT(TEXT(Inputs!D35,"$0"),"/MWh Year 1  (1.5%/yr)")</f>
        <v>$65/MWh Year 1  (1.5%/yr)</v>
      </c>
      <c r="D119" s="36" t="s">
        <v>162</v>
      </c>
      <c r="E119" s="72"/>
    </row>
    <row r="120" spans="2:5" ht="15.75" customHeight="1" x14ac:dyDescent="0.35">
      <c r="B120" s="10" t="s">
        <v>163</v>
      </c>
      <c r="C120" s="67" t="str">
        <f>_xlfn.CONCAT(TEXT(Inputs!D37,"$0"),"/MWh Year 1  (1.0%/yr)")</f>
        <v>$25/MWh Year 1  (1.0%/yr)</v>
      </c>
      <c r="D120" s="12" t="s">
        <v>164</v>
      </c>
      <c r="E120" s="68"/>
    </row>
    <row r="121" spans="2:5" ht="15.75" customHeight="1" x14ac:dyDescent="0.35">
      <c r="B121" s="23" t="s">
        <v>165</v>
      </c>
      <c r="C121" s="71" t="str">
        <f>_xlfn.CONCAT(TEXT(Inputs!D42,"$0"),"/kW-month  (2.0%/yr)")</f>
        <v>$6/kW-month  (2.0%/yr)</v>
      </c>
      <c r="D121" s="36" t="s">
        <v>166</v>
      </c>
      <c r="E121" s="72"/>
    </row>
    <row r="122" spans="2:5" ht="15.75" customHeight="1" x14ac:dyDescent="0.35">
      <c r="B122" s="10" t="s">
        <v>167</v>
      </c>
      <c r="C122" s="67" t="str">
        <f>_xlfn.CONCAT(Inputs!D41," MW"," (",TEXT(Inputs!D41/Inputs!D22,"0%")," of nameplate)")</f>
        <v>45 MW (90% of nameplate)</v>
      </c>
      <c r="D122" s="12" t="s">
        <v>168</v>
      </c>
      <c r="E122" s="68"/>
    </row>
    <row r="123" spans="2:5" ht="15.75" customHeight="1" x14ac:dyDescent="0.35">
      <c r="B123" s="23" t="s">
        <v>169</v>
      </c>
      <c r="C123" s="71" t="str">
        <f>_xlfn.CONCAT(TEXT(Inputs!D45,"$0"),"kW-year  (1.5%/yr)")</f>
        <v>$75kW-year  (1.5%/yr)</v>
      </c>
      <c r="D123" s="36" t="s">
        <v>170</v>
      </c>
      <c r="E123" s="72"/>
    </row>
    <row r="124" spans="2:5" ht="18" customHeight="1" x14ac:dyDescent="0.35">
      <c r="B124" s="62" t="s">
        <v>171</v>
      </c>
      <c r="C124" s="63" t="s">
        <v>5</v>
      </c>
      <c r="D124" s="64" t="s">
        <v>135</v>
      </c>
      <c r="E124" s="3"/>
    </row>
    <row r="125" spans="2:5" ht="15.75" customHeight="1" x14ac:dyDescent="0.35">
      <c r="B125" s="45" t="s">
        <v>172</v>
      </c>
      <c r="C125" s="73" t="str">
        <f>IF(Inputs!D79="ITC","ITC — Section 48E","PTC — Section 45Y")</f>
        <v>ITC — Section 48E</v>
      </c>
      <c r="D125" s="42" t="str">
        <f>IF(Inputs!D79="ITC","IRA Section 48E","IRA Section 45Y")</f>
        <v>IRA Section 48E</v>
      </c>
      <c r="E125" s="74"/>
    </row>
    <row r="126" spans="2:5" ht="15.75" customHeight="1" x14ac:dyDescent="0.35">
      <c r="B126" s="10" t="s">
        <v>591</v>
      </c>
      <c r="C126" s="67" t="str">
        <f>IF(Inputs!D79="ITC",_xlfn.CONCAT(TEXT(Inputs!D87,"0%"),"  (PWA compliant)"),_xlfn.CONCAT(TEXT(Inputs!D82,"$0"),"  (PWA compliant)"))</f>
        <v>30%  (PWA compliant)</v>
      </c>
      <c r="D126" s="12" t="str">
        <f>IF(Inputs!D79="ITC","IRA Section 48E","IRA Section 45Y")</f>
        <v>IRA Section 48E</v>
      </c>
      <c r="E126" s="68"/>
    </row>
    <row r="127" spans="2:5" ht="15.75" customHeight="1" x14ac:dyDescent="0.35">
      <c r="B127" s="45" t="s">
        <v>592</v>
      </c>
      <c r="C127" s="73" t="str">
        <f>IF(Inputs!D79="ITC",_xlfn.CONCAT(Inputs!D88*100,"¢ per dollar"),_xlfn.CONCAT(Inputs!D83*100,"¢ per dollar"))</f>
        <v>92.5¢ per dollar</v>
      </c>
      <c r="D127" s="42" t="s">
        <v>173</v>
      </c>
      <c r="E127" s="74"/>
    </row>
    <row r="128" spans="2:5" ht="15.75" customHeight="1" x14ac:dyDescent="0.35">
      <c r="B128" s="10" t="s">
        <v>174</v>
      </c>
      <c r="C128" s="67" t="str">
        <f>Inputs!D90&amp;" years"</f>
        <v>5 years</v>
      </c>
      <c r="D128" s="12" t="s">
        <v>175</v>
      </c>
      <c r="E128" s="68"/>
    </row>
    <row r="129" spans="1:7" ht="15.75" customHeight="1" x14ac:dyDescent="0.35">
      <c r="B129" s="45" t="s">
        <v>176</v>
      </c>
      <c r="C129" s="491">
        <f>Inputs!D89</f>
        <v>0.21</v>
      </c>
      <c r="D129" s="42" t="s">
        <v>177</v>
      </c>
      <c r="E129" s="74"/>
    </row>
    <row r="130" spans="1:7" ht="18" customHeight="1" x14ac:dyDescent="0.35">
      <c r="B130" s="62" t="s">
        <v>178</v>
      </c>
      <c r="C130" s="63" t="s">
        <v>5</v>
      </c>
      <c r="D130" s="64" t="s">
        <v>135</v>
      </c>
      <c r="E130" s="3"/>
    </row>
    <row r="131" spans="1:7" ht="15.75" customHeight="1" x14ac:dyDescent="0.35">
      <c r="B131" s="7" t="s">
        <v>179</v>
      </c>
      <c r="C131" s="75" t="str">
        <f>_xlfn.CONCAT(TEXT(Inputs!D100,"0.0%"),"  (nominal)")</f>
        <v>7.0%  (nominal)</v>
      </c>
      <c r="D131" s="9" t="s">
        <v>180</v>
      </c>
      <c r="E131" s="76"/>
    </row>
    <row r="132" spans="1:7" ht="15.75" customHeight="1" x14ac:dyDescent="0.35">
      <c r="B132" s="10" t="s">
        <v>181</v>
      </c>
      <c r="C132" s="67" t="str">
        <f>Inputs!D71&amp;" years"</f>
        <v>18 years</v>
      </c>
      <c r="D132" s="12" t="s">
        <v>157</v>
      </c>
      <c r="E132" s="68"/>
    </row>
    <row r="133" spans="1:7" ht="15.75" customHeight="1" x14ac:dyDescent="0.35">
      <c r="B133" s="7" t="s">
        <v>182</v>
      </c>
      <c r="C133" s="75" t="str">
        <f>Inputs!D69&amp;"x"</f>
        <v>1.3x</v>
      </c>
      <c r="D133" s="9" t="s">
        <v>157</v>
      </c>
      <c r="E133" s="76"/>
    </row>
    <row r="134" spans="1:7" ht="15.75" customHeight="1" x14ac:dyDescent="0.35">
      <c r="B134" s="10" t="s">
        <v>183</v>
      </c>
      <c r="C134" s="489">
        <f>Inputs!D73</f>
        <v>0.65</v>
      </c>
      <c r="D134" s="12" t="s">
        <v>157</v>
      </c>
      <c r="E134" s="68"/>
    </row>
    <row r="135" spans="1:7" ht="15.75" customHeight="1" x14ac:dyDescent="0.35">
      <c r="B135" s="7" t="s">
        <v>184</v>
      </c>
      <c r="C135" s="492">
        <f>Inputs!D100</f>
        <v>7.0000000000000007E-2</v>
      </c>
      <c r="D135" s="9" t="s">
        <v>185</v>
      </c>
      <c r="E135" s="76"/>
    </row>
    <row r="136" spans="1:7" ht="15.75" customHeight="1" x14ac:dyDescent="0.35">
      <c r="B136" s="10" t="s">
        <v>186</v>
      </c>
      <c r="C136" s="490">
        <f>Inputs!D101</f>
        <v>0.12</v>
      </c>
      <c r="D136" s="12" t="s">
        <v>187</v>
      </c>
      <c r="E136" s="68"/>
    </row>
    <row r="137" spans="1:7" ht="9.75" customHeight="1" x14ac:dyDescent="0.35"/>
    <row r="138" spans="1:7" ht="39.75" customHeight="1" x14ac:dyDescent="0.35">
      <c r="B138" s="533" t="s">
        <v>188</v>
      </c>
      <c r="C138" s="533"/>
      <c r="D138" s="533"/>
      <c r="E138" s="533"/>
      <c r="F138" s="533"/>
    </row>
    <row r="139" spans="1:7" ht="9.75" customHeight="1" x14ac:dyDescent="0.35"/>
    <row r="140" spans="1:7" ht="3" customHeight="1" x14ac:dyDescent="0.35">
      <c r="A140" s="527"/>
      <c r="B140" s="527"/>
      <c r="C140" s="527"/>
      <c r="D140" s="527"/>
      <c r="E140" s="527"/>
      <c r="F140" s="527"/>
      <c r="G140" s="527"/>
    </row>
    <row r="141" spans="1:7" ht="27.75" customHeight="1" x14ac:dyDescent="0.35">
      <c r="A141" s="534" t="s">
        <v>189</v>
      </c>
      <c r="B141" s="534"/>
      <c r="C141" s="534"/>
      <c r="D141" s="534"/>
      <c r="E141" s="534"/>
      <c r="F141" s="534"/>
      <c r="G141" s="534"/>
    </row>
  </sheetData>
  <mergeCells count="25">
    <mergeCell ref="B99:F99"/>
    <mergeCell ref="B100:F100"/>
    <mergeCell ref="B138:F138"/>
    <mergeCell ref="A140:G140"/>
    <mergeCell ref="A141:G141"/>
    <mergeCell ref="B70:F70"/>
    <mergeCell ref="B71:F71"/>
    <mergeCell ref="B79:F79"/>
    <mergeCell ref="B90:F90"/>
    <mergeCell ref="B91:F91"/>
    <mergeCell ref="B40:F40"/>
    <mergeCell ref="B41:F41"/>
    <mergeCell ref="B49:F49"/>
    <mergeCell ref="B59:F59"/>
    <mergeCell ref="B69:F69"/>
    <mergeCell ref="B6:F6"/>
    <mergeCell ref="B7:F7"/>
    <mergeCell ref="B22:F22"/>
    <mergeCell ref="B23:F23"/>
    <mergeCell ref="B39:F39"/>
    <mergeCell ref="A1:G1"/>
    <mergeCell ref="B2:F2"/>
    <mergeCell ref="B3:F3"/>
    <mergeCell ref="A4:G4"/>
    <mergeCell ref="A5:G5"/>
  </mergeCells>
  <conditionalFormatting sqref="B52:D52">
    <cfRule type="expression" dxfId="25" priority="12">
      <formula>$C$52&gt;0</formula>
    </cfRule>
  </conditionalFormatting>
  <conditionalFormatting sqref="B43:E43">
    <cfRule type="expression" dxfId="24" priority="21">
      <formula>$C$43&lt;0.07</formula>
    </cfRule>
    <cfRule type="expression" dxfId="23" priority="22">
      <formula>$C$43&gt;0.07</formula>
    </cfRule>
  </conditionalFormatting>
  <conditionalFormatting sqref="B44:E44">
    <cfRule type="expression" dxfId="22" priority="19">
      <formula>$C$44&lt;=0</formula>
    </cfRule>
    <cfRule type="expression" dxfId="21" priority="20">
      <formula>$C$44&gt;0</formula>
    </cfRule>
  </conditionalFormatting>
  <conditionalFormatting sqref="B50:E50">
    <cfRule type="expression" dxfId="20" priority="13">
      <formula>$C$50&gt;=0.12</formula>
    </cfRule>
    <cfRule type="expression" dxfId="19" priority="16">
      <formula>$C$50&lt;0.12</formula>
    </cfRule>
  </conditionalFormatting>
  <conditionalFormatting sqref="B53:E53">
    <cfRule type="expression" dxfId="18" priority="10">
      <formula>$C$53&lt;2</formula>
    </cfRule>
  </conditionalFormatting>
  <conditionalFormatting sqref="C37">
    <cfRule type="cellIs" dxfId="17" priority="25" operator="lessThan">
      <formula>0</formula>
    </cfRule>
    <cfRule type="cellIs" dxfId="16" priority="26" operator="greaterThan">
      <formula>0</formula>
    </cfRule>
    <cfRule type="cellIs" dxfId="15" priority="27" operator="equal">
      <formula>0</formula>
    </cfRule>
  </conditionalFormatting>
  <conditionalFormatting sqref="D37">
    <cfRule type="cellIs" dxfId="14" priority="23" operator="notEqual">
      <formula>"✓  Capital stack closes"</formula>
    </cfRule>
    <cfRule type="cellIs" dxfId="13" priority="24" operator="equal">
      <formula>"✓  Capital stack closes"</formula>
    </cfRule>
  </conditionalFormatting>
  <conditionalFormatting sqref="E43">
    <cfRule type="expression" dxfId="12" priority="14">
      <formula>$C$43&lt;0.07</formula>
    </cfRule>
  </conditionalFormatting>
  <conditionalFormatting sqref="E50">
    <cfRule type="expression" dxfId="11" priority="15">
      <formula>$C$50&lt;0.12</formula>
    </cfRule>
    <cfRule type="expression" dxfId="10" priority="17">
      <formula>$C$43&lt;0.07</formula>
    </cfRule>
    <cfRule type="expression" dxfId="9" priority="18">
      <formula>$C$43&gt;0.07</formula>
    </cfRule>
  </conditionalFormatting>
  <conditionalFormatting sqref="E52">
    <cfRule type="expression" dxfId="8" priority="6">
      <formula>$C$52&lt;0</formula>
    </cfRule>
    <cfRule type="expression" dxfId="7" priority="7">
      <formula>$C$44&lt;=0</formula>
    </cfRule>
    <cfRule type="expression" dxfId="6" priority="8">
      <formula>$C$44&gt;0</formula>
    </cfRule>
  </conditionalFormatting>
  <conditionalFormatting sqref="E54">
    <cfRule type="expression" dxfId="5" priority="9">
      <formula>$C$53&lt;2</formula>
    </cfRule>
  </conditionalFormatting>
  <conditionalFormatting sqref="E97">
    <cfRule type="expression" dxfId="4" priority="1">
      <formula>$C$50&gt;=0.12</formula>
    </cfRule>
    <cfRule type="expression" dxfId="3" priority="2">
      <formula>$C$50&lt;0.12</formula>
    </cfRule>
    <cfRule type="expression" dxfId="2" priority="3">
      <formula>$C$50&lt;0.12</formula>
    </cfRule>
    <cfRule type="expression" dxfId="1" priority="4">
      <formula>$C$43&lt;0.07</formula>
    </cfRule>
    <cfRule type="expression" dxfId="0" priority="5">
      <formula>$C$43&gt;0.07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</vt:lpstr>
      <vt:lpstr>Inputs</vt:lpstr>
      <vt:lpstr>Energy</vt:lpstr>
      <vt:lpstr>Revenue</vt:lpstr>
      <vt:lpstr>Costs</vt:lpstr>
      <vt:lpstr>Debt</vt:lpstr>
      <vt:lpstr>Tax</vt:lpstr>
      <vt:lpstr>Cashflows</vt:lpstr>
      <vt:lpstr>LCOE</vt:lpstr>
      <vt:lpstr>Sensitivities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Steffensen</dc:creator>
  <dc:description/>
  <cp:lastModifiedBy>Tyler Steffensen</cp:lastModifiedBy>
  <cp:revision>0</cp:revision>
  <dcterms:created xsi:type="dcterms:W3CDTF">2015-06-05T18:17:20Z</dcterms:created>
  <dcterms:modified xsi:type="dcterms:W3CDTF">2026-06-02T15:04:22Z</dcterms:modified>
  <dc:language>en-US</dc:language>
</cp:coreProperties>
</file>