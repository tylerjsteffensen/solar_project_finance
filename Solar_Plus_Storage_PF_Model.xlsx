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9110" yWindow="0" windowWidth="19380" windowHeight="20970" tabRatio="777" firstSheet="0" activeTab="10" autoFilterDateGrouping="1"/>
  </bookViews>
  <sheets>
    <sheet xmlns:r="http://schemas.openxmlformats.org/officeDocument/2006/relationships" name="Project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Energy" sheetId="3" state="visible" r:id="rId3"/>
    <sheet xmlns:r="http://schemas.openxmlformats.org/officeDocument/2006/relationships" name="Revenue" sheetId="4" state="visible" r:id="rId4"/>
    <sheet xmlns:r="http://schemas.openxmlformats.org/officeDocument/2006/relationships" name="Costs" sheetId="5" state="visible" r:id="rId5"/>
    <sheet xmlns:r="http://schemas.openxmlformats.org/officeDocument/2006/relationships" name="Debt" sheetId="6" state="visible" r:id="rId6"/>
    <sheet xmlns:r="http://schemas.openxmlformats.org/officeDocument/2006/relationships" name="Tax" sheetId="7" state="visible" r:id="rId7"/>
    <sheet xmlns:r="http://schemas.openxmlformats.org/officeDocument/2006/relationships" name="Cashflows" sheetId="8" state="visible" r:id="rId8"/>
    <sheet xmlns:r="http://schemas.openxmlformats.org/officeDocument/2006/relationships" name="LCOE" sheetId="9" state="visible" r:id="rId9"/>
    <sheet xmlns:r="http://schemas.openxmlformats.org/officeDocument/2006/relationships" name="Sensitivities" sheetId="10" state="visible" r:id="rId10"/>
    <sheet xmlns:r="http://schemas.openxmlformats.org/officeDocument/2006/relationships" name="Outputs" sheetId="11" state="visible" r:id="rId11"/>
  </sheets>
  <definedNames/>
  <calcPr calcId="191029" fullCalcOnLoad="1" iterate="1"/>
</workbook>
</file>

<file path=xl/styles.xml><?xml version="1.0" encoding="utf-8"?>
<styleSheet xmlns="http://schemas.openxmlformats.org/spreadsheetml/2006/main">
  <numFmts count="13">
    <numFmt numFmtId="164" formatCode="\$#,##0"/>
    <numFmt numFmtId="165" formatCode="0.0%"/>
    <numFmt numFmtId="166" formatCode="\$#,##0;&quot;($&quot;#,##0\)"/>
    <numFmt numFmtId="167" formatCode="0.00\x"/>
    <numFmt numFmtId="168" formatCode="\$0.00"/>
    <numFmt numFmtId="169" formatCode="\$#,##0_);[Red]&quot;($&quot;#,##0\)"/>
    <numFmt numFmtId="170" formatCode="\$#,##0.00_);[Red]&quot;($&quot;#,##0.00\)"/>
    <numFmt numFmtId="171" formatCode="_(\$* #,##0.00_);_(\$* \(#,##0.00\);_(\$* \-??_);_(@_)"/>
    <numFmt numFmtId="172" formatCode="0.0000000"/>
    <numFmt numFmtId="173" formatCode="0.000000000000000%"/>
    <numFmt numFmtId="174" formatCode="_(* #,##0.00_);_(* \(#,##0.00\);_(* \-??_);_(@_)"/>
    <numFmt numFmtId="175" formatCode="0.0000"/>
    <numFmt numFmtId="176" formatCode="&quot;$&quot;#,##0.00"/>
  </numFmts>
  <fonts count="46">
    <font>
      <name val="Calibri"/>
      <charset val="1"/>
      <family val="2"/>
      <color theme="1"/>
      <sz val="11"/>
    </font>
    <font>
      <name val="Arial"/>
      <family val="2"/>
      <sz val="10"/>
    </font>
    <font>
      <name val="Arial"/>
      <family val="2"/>
      <b val="1"/>
      <color rgb="FFFFFFFF"/>
      <sz val="16"/>
    </font>
    <font>
      <name val="Arial"/>
      <family val="2"/>
      <i val="1"/>
      <color rgb="FFA0B4C8"/>
      <sz val="10"/>
    </font>
    <font>
      <name val="Arial"/>
      <family val="2"/>
      <b val="1"/>
      <color rgb="FFFFFFFF"/>
      <sz val="11"/>
    </font>
    <font>
      <name val="Arial"/>
      <family val="2"/>
      <i val="1"/>
      <color rgb="FF595959"/>
      <sz val="9"/>
    </font>
    <font>
      <name val="Arial"/>
      <family val="2"/>
      <b val="1"/>
      <color rgb="FFFFFFFF"/>
      <sz val="9"/>
    </font>
    <font>
      <name val="Arial"/>
      <family val="2"/>
      <b val="1"/>
      <color rgb="FF1F3864"/>
      <sz val="9"/>
    </font>
    <font>
      <name val="Arial"/>
      <family val="2"/>
      <color rgb="FF1F3864"/>
      <sz val="10"/>
    </font>
    <font>
      <name val="Arial"/>
      <family val="2"/>
      <color rgb="FF1F1F1F"/>
      <sz val="10"/>
    </font>
    <font>
      <name val="Arial"/>
      <family val="2"/>
      <color rgb="FF595959"/>
      <sz val="10"/>
    </font>
    <font>
      <name val="Arial"/>
      <family val="2"/>
      <b val="1"/>
      <color rgb="FFFFFFFF"/>
      <sz val="10"/>
    </font>
    <font>
      <name val="Arial"/>
      <family val="2"/>
      <i val="1"/>
      <color rgb="FF375623"/>
      <sz val="9"/>
    </font>
    <font>
      <name val="Arial"/>
      <family val="2"/>
      <b val="1"/>
      <color rgb="FF375623"/>
      <sz val="10"/>
    </font>
    <font>
      <name val="Arial"/>
      <family val="2"/>
      <color rgb="FF375623"/>
      <sz val="9"/>
    </font>
    <font>
      <name val="Arial"/>
      <family val="2"/>
      <b val="1"/>
      <color rgb="FF1F1F1F"/>
      <sz val="10"/>
    </font>
    <font>
      <name val="Arial"/>
      <family val="2"/>
      <b val="1"/>
      <color rgb="FF375623"/>
      <sz val="9"/>
    </font>
    <font>
      <name val="Arial"/>
      <family val="2"/>
      <color rgb="FF595959"/>
      <sz val="9"/>
    </font>
    <font>
      <name val="Arial"/>
      <family val="2"/>
      <b val="1"/>
      <color rgb="FF1F3864"/>
      <sz val="10"/>
    </font>
    <font>
      <name val="Arial"/>
      <family val="2"/>
      <i val="1"/>
      <color rgb="FF7F4B00"/>
      <sz val="9"/>
    </font>
    <font>
      <name val="Arial"/>
      <family val="2"/>
      <i val="1"/>
      <color rgb="FFFFFFFF"/>
      <sz val="8"/>
    </font>
    <font>
      <name val="Arial"/>
      <family val="2"/>
      <b val="1"/>
      <color rgb="FFFFFFFF"/>
      <sz val="20"/>
    </font>
    <font>
      <name val="Arial"/>
      <family val="2"/>
      <b val="1"/>
      <color rgb="FFFFFFFF"/>
      <sz val="12"/>
    </font>
    <font>
      <name val="Calibri"/>
      <charset val="1"/>
      <family val="2"/>
      <color theme="8"/>
      <sz val="11"/>
    </font>
    <font>
      <name val="Arial"/>
      <family val="2"/>
      <b val="1"/>
      <color rgb="FF0070C0"/>
      <sz val="10"/>
    </font>
    <font>
      <name val="Arial"/>
      <family val="2"/>
      <color rgb="FF1F1F1F"/>
      <sz val="9"/>
    </font>
    <font>
      <name val="Arial"/>
      <family val="2"/>
      <b val="1"/>
      <color rgb="FF1F1F1F"/>
      <sz val="9"/>
    </font>
    <font>
      <name val="Arial"/>
      <family val="2"/>
      <b val="1"/>
      <color rgb="FFED7D31"/>
      <sz val="10"/>
    </font>
    <font>
      <name val="Calibri"/>
      <charset val="1"/>
      <family val="2"/>
      <color theme="1"/>
      <sz val="11"/>
    </font>
    <font>
      <name val="Calibri"/>
      <charset val="1"/>
      <family val="2"/>
      <b val="1"/>
      <sz val="11"/>
    </font>
    <font>
      <name val="Arial"/>
      <family val="2"/>
      <b val="1"/>
      <sz val="9"/>
    </font>
    <font>
      <name val="Arial"/>
      <family val="2"/>
      <b val="1"/>
      <sz val="10"/>
    </font>
    <font>
      <name val="Arial"/>
      <family val="2"/>
      <sz val="9"/>
    </font>
    <font>
      <name val="Calibri"/>
      <charset val="1"/>
      <family val="2"/>
      <sz val="11"/>
    </font>
    <font>
      <name val="Arial"/>
      <family val="2"/>
      <b val="1"/>
      <color theme="0"/>
      <sz val="10"/>
    </font>
    <font>
      <name val="Arial"/>
      <family val="2"/>
      <color theme="8"/>
      <sz val="10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Arial"/>
      <family val="2"/>
      <color theme="9" tint="-0.499984740745262"/>
      <sz val="10"/>
    </font>
    <font>
      <name val="Arial"/>
      <family val="2"/>
      <b val="1"/>
      <color theme="9" tint="-0.499984740745262"/>
      <sz val="10"/>
    </font>
    <font>
      <name val="Calibri"/>
      <charset val="1"/>
      <family val="2"/>
      <color theme="9" tint="-0.499984740745262"/>
      <sz val="11"/>
    </font>
    <font>
      <name val="Arial"/>
      <family val="2"/>
      <b val="1"/>
      <color theme="9" tint="-0.499984740745262"/>
      <sz val="9"/>
    </font>
    <font>
      <name val="Arial"/>
      <family val="2"/>
      <color theme="9" tint="-0.499984740745262"/>
      <sz val="9"/>
    </font>
    <font>
      <name val="Arial"/>
      <family val="2"/>
      <b val="1"/>
      <color theme="0"/>
      <sz val="9"/>
    </font>
    <font>
      <name val="Arial"/>
      <family val="2"/>
      <i val="1"/>
      <sz val="9"/>
    </font>
    <font>
      <name val="Arial"/>
      <family val="2"/>
      <b val="1"/>
      <i val="1"/>
      <color rgb="FFFFFFFF"/>
      <sz val="9"/>
    </font>
  </fonts>
  <fills count="25">
    <fill>
      <patternFill/>
    </fill>
    <fill>
      <patternFill patternType="gray125"/>
    </fill>
    <fill>
      <patternFill patternType="solid">
        <fgColor rgb="FF1F3864"/>
        <bgColor rgb="FF2F5597"/>
      </patternFill>
    </fill>
    <fill>
      <patternFill patternType="solid">
        <fgColor rgb="FFC9A84C"/>
        <bgColor rgb="FFED7D31"/>
      </patternFill>
    </fill>
    <fill>
      <patternFill patternType="solid">
        <fgColor rgb="FF2E75B6"/>
        <bgColor rgb="FF4472C4"/>
      </patternFill>
    </fill>
    <fill>
      <patternFill patternType="solid">
        <fgColor rgb="FFD6E4F0"/>
        <bgColor rgb="FFD9D9D9"/>
      </patternFill>
    </fill>
    <fill>
      <patternFill patternType="solid">
        <fgColor rgb="FFF2F2F2"/>
        <bgColor rgb="FFFFF8E7"/>
      </patternFill>
    </fill>
    <fill>
      <patternFill patternType="solid">
        <fgColor rgb="FFFFFFFF"/>
        <bgColor rgb="FFFFF8E7"/>
      </patternFill>
    </fill>
    <fill>
      <patternFill patternType="solid">
        <fgColor rgb="FFFFF8E7"/>
        <bgColor rgb="FFF2F2F2"/>
      </patternFill>
    </fill>
    <fill>
      <patternFill patternType="solid">
        <fgColor rgb="FFE2EFDA"/>
        <bgColor rgb="FFF2F2F2"/>
      </patternFill>
    </fill>
    <fill>
      <patternFill patternType="solid">
        <fgColor rgb="FF595959"/>
        <bgColor rgb="FF375623"/>
      </patternFill>
    </fill>
    <fill>
      <patternFill patternType="solid">
        <fgColor rgb="FFFCE4D6"/>
        <bgColor rgb="FFF2F2F2"/>
      </patternFill>
    </fill>
    <fill>
      <patternFill patternType="solid">
        <fgColor rgb="FFF2F2F2"/>
        <bgColor rgb="FFD9D9D9"/>
      </patternFill>
    </fill>
    <fill>
      <patternFill patternType="solid">
        <fgColor theme="9" tint="0.7999816888943144"/>
        <bgColor rgb="FFD9D9D9"/>
      </patternFill>
    </fill>
    <fill>
      <patternFill patternType="solid">
        <fgColor theme="9" tint="0.7999816888943144"/>
        <bgColor rgb="FFFFF8E7"/>
      </patternFill>
    </fill>
    <fill>
      <patternFill patternType="solid">
        <fgColor rgb="FFF2F2F2"/>
        <bgColor indexed="64"/>
      </patternFill>
    </fill>
    <fill>
      <patternFill patternType="solid">
        <fgColor rgb="FF00B0F0"/>
        <bgColor rgb="FF2F5597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D6E4F0"/>
        <bgColor rgb="FFFFF8E7"/>
      </patternFill>
    </fill>
    <fill>
      <patternFill patternType="solid">
        <fgColor rgb="FFD6E4F0"/>
        <bgColor indexed="64"/>
      </patternFill>
    </fill>
    <fill>
      <patternFill patternType="solid">
        <fgColor rgb="FF1F3864"/>
        <bgColor rgb="FFD9D9D9"/>
      </patternFill>
    </fill>
    <fill>
      <patternFill patternType="solid">
        <fgColor rgb="FF7030A0"/>
        <bgColor rgb="FF2F5597"/>
      </patternFill>
    </fill>
    <fill>
      <patternFill patternType="solid">
        <fgColor theme="0" tint="-0.499984740745262"/>
        <bgColor rgb="FF2F5597"/>
      </patternFill>
    </fill>
    <fill>
      <patternFill patternType="solid">
        <fgColor rgb="FFFFF8E7"/>
        <bgColor rgb="FFFFF8E7"/>
      </patternFill>
    </fill>
    <fill>
      <patternFill patternType="solid">
        <fgColor rgb="FFE2EFDA"/>
        <bgColor rgb="FFFFF8E7"/>
      </patternFill>
    </fill>
  </fills>
  <borders count="58">
    <border>
      <left/>
      <right/>
      <top/>
      <bottom/>
      <diagonal/>
    </border>
    <border>
      <left/>
      <right/>
      <top/>
      <bottom style="medium">
        <color rgb="FFC9A84C"/>
      </bottom>
      <diagonal/>
    </border>
    <border>
      <left/>
      <right/>
      <top/>
      <bottom style="medium">
        <color rgb="FF1F3864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/>
      <right/>
      <top style="medium">
        <color rgb="FF1F3864"/>
      </top>
      <bottom style="medium">
        <color rgb="FF1F3864"/>
      </bottom>
      <diagonal/>
    </border>
    <border>
      <left style="medium">
        <color rgb="FFC9A84C"/>
      </left>
      <right style="thin">
        <color rgb="FFC9A84C"/>
      </right>
      <top style="thin">
        <color rgb="FFC9A84C"/>
      </top>
      <bottom style="thin">
        <color rgb="FFC9A84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theme="0" tint="-0.1499984740745262"/>
      </left>
      <right style="thin">
        <color theme="0" tint="-0.1499984740745262"/>
      </right>
      <top style="thin">
        <color theme="0" tint="-0.1499984740745262"/>
      </top>
      <bottom style="thin">
        <color theme="0" tint="-0.1499984740745262"/>
      </bottom>
      <diagonal/>
    </border>
    <border>
      <left style="thin">
        <color theme="0" tint="-0.1499984740745262"/>
      </left>
      <right style="thin">
        <color theme="0" tint="-0.1499984740745262"/>
      </right>
      <top/>
      <bottom style="thin">
        <color theme="0" tint="-0.1499984740745262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theme="0" tint="-0.1499984740745262"/>
      </right>
      <top style="thin">
        <color rgb="FFCCCCCC"/>
      </top>
      <bottom style="thin">
        <color rgb="FFCCCCCC"/>
      </bottom>
      <diagonal/>
    </border>
    <border>
      <left/>
      <right style="thin">
        <color theme="0" tint="-0.1499984740745262"/>
      </right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/>
      <right/>
      <top style="thin">
        <color theme="0" tint="-0.1499984740745262"/>
      </top>
      <bottom/>
      <diagonal/>
    </border>
    <border>
      <left/>
      <right/>
      <top style="thin">
        <color theme="0" tint="-0.1499984740745262"/>
      </top>
      <bottom style="thin">
        <color theme="0" tint="-0.1499984740745262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 style="thin">
        <color theme="0" tint="-0.1499984740745262"/>
      </top>
      <bottom style="thin">
        <color rgb="FFCCCCCC"/>
      </bottom>
      <diagonal/>
    </border>
    <border>
      <left style="thin">
        <color rgb="FFCCCCCC"/>
      </left>
      <right/>
      <top style="thin">
        <color theme="0" tint="-0.1499984740745262"/>
      </top>
      <bottom style="thin">
        <color rgb="FFCCCCCC"/>
      </bottom>
      <diagonal/>
    </border>
    <border>
      <left style="thin">
        <color theme="0" tint="-0.1499984740745262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theme="0" tint="-0.1499984740745262"/>
      </bottom>
      <diagonal/>
    </border>
    <border>
      <left style="thin">
        <color theme="0" tint="-0.1499984740745262"/>
      </left>
      <right/>
      <top style="thin">
        <color theme="0" tint="-0.1499984740745262"/>
      </top>
      <bottom/>
      <diagonal/>
    </border>
    <border>
      <left style="thin">
        <color rgb="FFCCCCCC"/>
      </left>
      <right style="thin">
        <color theme="0" tint="-0.1499984740745262"/>
      </right>
      <top style="thin">
        <color rgb="FFCCCCCC"/>
      </top>
      <bottom style="thin">
        <color theme="0" tint="-0.1499984740745262"/>
      </bottom>
      <diagonal/>
    </border>
    <border>
      <left style="thin">
        <color theme="0" tint="-0.1499984740745262"/>
      </left>
      <right style="thin">
        <color rgb="FFCCCCCC"/>
      </right>
      <top style="thin">
        <color theme="0" tint="-0.1499984740745262"/>
      </top>
      <bottom style="thin">
        <color rgb="FFCCCCCC"/>
      </bottom>
      <diagonal/>
    </border>
    <border>
      <left style="thin">
        <color rgb="FFCCCCCC"/>
      </left>
      <right style="thin">
        <color theme="0" tint="-0.1499984740745262"/>
      </right>
      <top style="thin">
        <color theme="0" tint="-0.1499984740745262"/>
      </top>
      <bottom style="thin">
        <color rgb="FFCCCCCC"/>
      </bottom>
      <diagonal/>
    </border>
    <border>
      <left style="thin">
        <color theme="0" tint="-0.1499984740745262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theme="0" tint="-0.1499984740745262"/>
      </left>
      <right style="thin">
        <color rgb="FFCCCCCC"/>
      </right>
      <top style="thin">
        <color rgb="FFCCCCCC"/>
      </top>
      <bottom style="thin">
        <color theme="0" tint="-0.1499984740745262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theme="0" tint="-0.1499984740745262"/>
      </right>
      <top/>
      <bottom style="thin">
        <color rgb="FFCCCCCC"/>
      </bottom>
      <diagonal/>
    </border>
    <border>
      <left style="thin">
        <color indexed="64"/>
      </left>
      <right style="thin">
        <color rgb="FFCCCCCC"/>
      </right>
      <top style="thin">
        <color indexed="64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indexed="64"/>
      </top>
      <bottom style="thin">
        <color rgb="FFCCCCCC"/>
      </bottom>
      <diagonal/>
    </border>
    <border>
      <left style="thin">
        <color indexed="64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medium">
        <color rgb="FFC9A84C"/>
      </top>
      <bottom/>
      <diagonal/>
    </border>
    <border>
      <left/>
      <right/>
      <top/>
      <bottom style="thin">
        <color theme="0" tint="-0.1499984740745262"/>
      </bottom>
      <diagonal/>
    </border>
    <border>
      <left style="thin">
        <color theme="0" tint="-0.1499984740745262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theme="0" tint="-0.1499984740745262"/>
      </right>
      <top style="thin">
        <color rgb="FFCCCCCC"/>
      </top>
      <bottom/>
      <diagonal/>
    </border>
    <border>
      <left/>
      <right/>
      <top style="medium">
        <color rgb="FFC9A84C"/>
      </top>
      <bottom style="thin">
        <color theme="0" tint="-0.1499984740745262"/>
      </bottom>
      <diagonal/>
    </border>
    <border>
      <left/>
      <right style="thin">
        <color rgb="FFCCCCCC"/>
      </right>
      <top/>
      <bottom/>
      <diagonal/>
    </border>
    <border>
      <left/>
      <right style="thin">
        <color rgb="FFCCCCCC"/>
      </right>
      <top/>
      <bottom style="thin">
        <color theme="0" tint="-0.1499984740745262"/>
      </bottom>
      <diagonal/>
    </border>
    <border>
      <left style="thin">
        <color rgb="FFCCCCCC"/>
      </left>
      <right style="medium">
        <color theme="0" tint="-0.1499984740745262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medium">
        <color theme="0" tint="-0.1499984740745262"/>
      </bottom>
      <diagonal/>
    </border>
    <border>
      <left style="thin">
        <color rgb="FFCCCCCC"/>
      </left>
      <right style="medium">
        <color theme="0" tint="-0.1499984740745262"/>
      </right>
      <top style="thin">
        <color rgb="FFCCCCCC"/>
      </top>
      <bottom style="medium">
        <color theme="0" tint="-0.1499984740745262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/>
      <right style="thin">
        <color rgb="FFCCCCCC"/>
      </right>
      <top style="thin">
        <color theme="0" tint="-0.1499984740745262"/>
      </top>
      <bottom/>
      <diagonal/>
    </border>
    <border>
      <left style="thin">
        <color rgb="FFCCCCCC"/>
      </left>
      <right/>
      <top style="thin">
        <color indexed="64"/>
      </top>
      <bottom style="thin">
        <color rgb="FFCCCCCC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rgb="FFCCCCCC"/>
      </right>
      <top style="thin">
        <color rgb="FFCCCCCC"/>
      </top>
      <bottom/>
      <diagonal/>
    </border>
    <border>
      <left style="thin">
        <color indexed="64"/>
      </left>
      <right/>
      <top/>
      <bottom style="thin">
        <color theme="0" tint="-0.1499984740745262"/>
      </bottom>
      <diagonal/>
    </border>
    <border>
      <left style="thin">
        <color indexed="64"/>
      </left>
      <right/>
      <top style="thin">
        <color theme="0" tint="-0.1499984740745262"/>
      </top>
      <bottom style="thin">
        <color theme="0" tint="-0.1499984740745262"/>
      </bottom>
      <diagonal/>
    </border>
    <border>
      <left style="thin">
        <color indexed="64"/>
      </left>
      <right style="thin">
        <color rgb="FFCCCCCC"/>
      </right>
      <top style="thin">
        <color rgb="FFCCCCCC"/>
      </top>
      <bottom style="medium">
        <color theme="0" tint="-0.1499984740745262"/>
      </bottom>
      <diagonal/>
    </border>
    <border>
      <left style="thin">
        <color rgb="FFCCCCCC"/>
      </left>
      <right style="medium">
        <color theme="0" tint="-0.1499984740745262"/>
      </right>
      <top style="thin">
        <color indexed="64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medium">
        <color rgb="FFC9A84C"/>
      </top>
      <bottom style="thin">
        <color rgb="FFCCCCCC"/>
      </bottom>
      <diagonal/>
    </border>
    <border>
      <left/>
      <right style="thin">
        <color rgb="FFCCCCCC"/>
      </right>
      <top style="thin">
        <color theme="0" tint="-0.1499984740745262"/>
      </top>
      <bottom style="thin">
        <color rgb="FFCCCCCC"/>
      </bottom>
      <diagonal/>
    </border>
    <border>
      <left/>
      <right/>
      <top style="thin">
        <color rgb="FFC9A84C"/>
      </top>
      <bottom/>
      <diagonal/>
    </border>
    <border>
      <left/>
      <right style="thin">
        <color rgb="FFC9A84C"/>
      </right>
      <top style="thin">
        <color rgb="FFC9A84C"/>
      </top>
      <bottom/>
      <diagonal/>
    </border>
    <border>
      <left/>
      <right/>
      <top style="thin">
        <color rgb="FFC9A84C"/>
      </top>
      <bottom style="thin">
        <color rgb="FFC9A84C"/>
      </bottom>
      <diagonal/>
    </border>
    <border>
      <left/>
      <right style="thin">
        <color rgb="FFC9A84C"/>
      </right>
      <top style="thin">
        <color rgb="FFC9A84C"/>
      </top>
      <bottom style="thin">
        <color rgb="FFC9A84C"/>
      </bottom>
      <diagonal/>
    </border>
  </borders>
  <cellStyleXfs count="4">
    <xf numFmtId="0" fontId="28" fillId="0" borderId="0"/>
    <xf numFmtId="174" fontId="28" fillId="0" borderId="0"/>
    <xf numFmtId="171" fontId="28" fillId="0" borderId="0"/>
    <xf numFmtId="9" fontId="28" fillId="0" borderId="0"/>
  </cellStyleXfs>
  <cellXfs count="599">
    <xf numFmtId="0" fontId="0" fillId="0" borderId="0" pivotButton="0" quotePrefix="0" xfId="0"/>
    <xf numFmtId="0" fontId="11" fillId="4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6" fillId="2" borderId="2" applyAlignment="1" pivotButton="0" quotePrefix="0" xfId="0">
      <alignment horizontal="left" vertical="center" indent="1"/>
    </xf>
    <xf numFmtId="0" fontId="6" fillId="4" borderId="2" applyAlignment="1" pivotButton="0" quotePrefix="0" xfId="0">
      <alignment horizontal="center" vertical="center"/>
    </xf>
    <xf numFmtId="0" fontId="7" fillId="5" borderId="2" applyAlignment="1" pivotButton="0" quotePrefix="0" xfId="0">
      <alignment horizontal="center" vertical="center"/>
    </xf>
    <xf numFmtId="0" fontId="8" fillId="6" borderId="3" applyAlignment="1" pivotButton="0" quotePrefix="0" xfId="0">
      <alignment horizontal="left" vertical="center" indent="2"/>
    </xf>
    <xf numFmtId="0" fontId="9" fillId="6" borderId="3" applyAlignment="1" pivotButton="0" quotePrefix="0" xfId="0">
      <alignment horizontal="right" vertical="center"/>
    </xf>
    <xf numFmtId="0" fontId="5" fillId="6" borderId="3" applyAlignment="1" pivotButton="0" quotePrefix="0" xfId="0">
      <alignment horizontal="left" vertical="center" indent="1"/>
    </xf>
    <xf numFmtId="0" fontId="8" fillId="7" borderId="3" applyAlignment="1" pivotButton="0" quotePrefix="0" xfId="0">
      <alignment horizontal="left" vertical="center" indent="2"/>
    </xf>
    <xf numFmtId="0" fontId="9" fillId="7" borderId="3" applyAlignment="1" pivotButton="0" quotePrefix="0" xfId="0">
      <alignment horizontal="right" vertical="center"/>
    </xf>
    <xf numFmtId="0" fontId="5" fillId="7" borderId="3" applyAlignment="1" pivotButton="0" quotePrefix="0" xfId="0">
      <alignment horizontal="left" vertical="center" indent="1"/>
    </xf>
    <xf numFmtId="0" fontId="6" fillId="2" borderId="2" applyAlignment="1" pivotButton="0" quotePrefix="0" xfId="0">
      <alignment horizontal="right" vertical="center"/>
    </xf>
    <xf numFmtId="0" fontId="6" fillId="4" borderId="2" applyAlignment="1" pivotButton="0" quotePrefix="0" xfId="0">
      <alignment horizontal="left" vertical="center" indent="1"/>
    </xf>
    <xf numFmtId="0" fontId="6" fillId="4" borderId="2" applyAlignment="1" pivotButton="0" quotePrefix="0" xfId="0">
      <alignment horizontal="right" vertical="center"/>
    </xf>
    <xf numFmtId="164" fontId="9" fillId="6" borderId="3" applyAlignment="1" pivotButton="0" quotePrefix="0" xfId="0">
      <alignment horizontal="right" vertical="center"/>
    </xf>
    <xf numFmtId="165" fontId="10" fillId="6" borderId="3" applyAlignment="1" pivotButton="0" quotePrefix="0" xfId="0">
      <alignment horizontal="right" vertical="center"/>
    </xf>
    <xf numFmtId="0" fontId="8" fillId="5" borderId="3" applyAlignment="1" pivotButton="0" quotePrefix="0" xfId="0">
      <alignment horizontal="left" vertical="center" indent="2"/>
    </xf>
    <xf numFmtId="164" fontId="9" fillId="5" borderId="3" applyAlignment="1" pivotButton="0" quotePrefix="0" xfId="0">
      <alignment horizontal="right" vertical="center"/>
    </xf>
    <xf numFmtId="164" fontId="9" fillId="7" borderId="3" applyAlignment="1" pivotButton="0" quotePrefix="0" xfId="0">
      <alignment horizontal="right" vertical="center"/>
    </xf>
    <xf numFmtId="0" fontId="8" fillId="8" borderId="3" applyAlignment="1" pivotButton="0" quotePrefix="0" xfId="0">
      <alignment horizontal="left" vertical="center" indent="2"/>
    </xf>
    <xf numFmtId="164" fontId="9" fillId="8" borderId="3" applyAlignment="1" pivotButton="0" quotePrefix="0" xfId="0">
      <alignment horizontal="right" vertical="center"/>
    </xf>
    <xf numFmtId="0" fontId="8" fillId="9" borderId="3" applyAlignment="1" pivotButton="0" quotePrefix="0" xfId="0">
      <alignment horizontal="left" vertical="center" indent="2"/>
    </xf>
    <xf numFmtId="164" fontId="9" fillId="9" borderId="3" applyAlignment="1" pivotButton="0" quotePrefix="0" xfId="0">
      <alignment horizontal="right" vertical="center"/>
    </xf>
    <xf numFmtId="0" fontId="11" fillId="2" borderId="4" applyAlignment="1" pivotButton="0" quotePrefix="0" xfId="0">
      <alignment horizontal="left" vertical="center" indent="2"/>
    </xf>
    <xf numFmtId="164" fontId="11" fillId="2" borderId="4" applyAlignment="1" pivotButton="0" quotePrefix="0" xfId="0">
      <alignment horizontal="right" vertical="center"/>
    </xf>
    <xf numFmtId="165" fontId="11" fillId="2" borderId="4" applyAlignment="1" pivotButton="0" quotePrefix="0" xfId="0">
      <alignment horizontal="right" vertical="center"/>
    </xf>
    <xf numFmtId="0" fontId="11" fillId="4" borderId="4" applyAlignment="1" pivotButton="0" quotePrefix="0" xfId="0">
      <alignment horizontal="left" vertical="center" indent="2"/>
    </xf>
    <xf numFmtId="164" fontId="11" fillId="4" borderId="4" applyAlignment="1" pivotButton="0" quotePrefix="0" xfId="0">
      <alignment horizontal="right" vertical="center"/>
    </xf>
    <xf numFmtId="0" fontId="12" fillId="9" borderId="3" applyAlignment="1" pivotButton="0" quotePrefix="0" xfId="0">
      <alignment horizontal="left" vertical="center" indent="2"/>
    </xf>
    <xf numFmtId="164" fontId="13" fillId="9" borderId="3" applyAlignment="1" pivotButton="0" quotePrefix="0" xfId="0">
      <alignment horizontal="right" vertical="center"/>
    </xf>
    <xf numFmtId="0" fontId="14" fillId="9" borderId="3" applyAlignment="1" pivotButton="0" quotePrefix="0" xfId="0">
      <alignment horizontal="left" vertical="center" indent="1"/>
    </xf>
    <xf numFmtId="0" fontId="7" fillId="6" borderId="2" applyAlignment="1" pivotButton="0" quotePrefix="0" xfId="0">
      <alignment horizontal="left" vertical="center" indent="1"/>
    </xf>
    <xf numFmtId="0" fontId="7" fillId="6" borderId="2" applyAlignment="1" pivotButton="0" quotePrefix="0" xfId="0">
      <alignment horizontal="center" vertical="center"/>
    </xf>
    <xf numFmtId="165" fontId="15" fillId="9" borderId="3" applyAlignment="1" pivotButton="0" quotePrefix="0" xfId="0">
      <alignment horizontal="right" vertical="center"/>
    </xf>
    <xf numFmtId="0" fontId="5" fillId="9" borderId="3" applyAlignment="1" pivotButton="0" quotePrefix="0" xfId="0">
      <alignment horizontal="left" vertical="center" indent="1"/>
    </xf>
    <xf numFmtId="0" fontId="16" fillId="9" borderId="3" applyAlignment="1" pivotButton="0" quotePrefix="0" xfId="0">
      <alignment horizontal="center" vertical="center"/>
    </xf>
    <xf numFmtId="164" fontId="15" fillId="9" borderId="3" applyAlignment="1" pivotButton="0" quotePrefix="0" xfId="0">
      <alignment horizontal="right" vertical="center"/>
    </xf>
    <xf numFmtId="0" fontId="17" fillId="6" borderId="3" applyAlignment="1" pivotButton="0" quotePrefix="0" xfId="0">
      <alignment horizontal="center" vertical="center"/>
    </xf>
    <xf numFmtId="0" fontId="18" fillId="11" borderId="3" applyAlignment="1" pivotButton="0" quotePrefix="0" xfId="0">
      <alignment horizontal="left" vertical="center" indent="2"/>
    </xf>
    <xf numFmtId="10" fontId="15" fillId="11" borderId="3" applyAlignment="1" pivotButton="0" quotePrefix="0" xfId="0">
      <alignment horizontal="right" vertical="center"/>
    </xf>
    <xf numFmtId="0" fontId="5" fillId="11" borderId="3" applyAlignment="1" pivotButton="0" quotePrefix="0" xfId="0">
      <alignment horizontal="left" vertical="center" indent="1"/>
    </xf>
    <xf numFmtId="10" fontId="9" fillId="8" borderId="3" applyAlignment="1" pivotButton="0" quotePrefix="0" xfId="0">
      <alignment horizontal="right" vertical="center"/>
    </xf>
    <xf numFmtId="0" fontId="5" fillId="8" borderId="3" applyAlignment="1" pivotButton="0" quotePrefix="0" xfId="0">
      <alignment horizontal="left" vertical="center" indent="1"/>
    </xf>
    <xf numFmtId="0" fontId="8" fillId="11" borderId="3" applyAlignment="1" pivotButton="0" quotePrefix="0" xfId="0">
      <alignment horizontal="left" vertical="center" indent="2"/>
    </xf>
    <xf numFmtId="166" fontId="9" fillId="11" borderId="3" applyAlignment="1" pivotButton="0" quotePrefix="0" xfId="0">
      <alignment horizontal="right" vertical="center"/>
    </xf>
    <xf numFmtId="0" fontId="18" fillId="9" borderId="3" applyAlignment="1" pivotButton="0" quotePrefix="0" xfId="0">
      <alignment horizontal="left" vertical="center" indent="2"/>
    </xf>
    <xf numFmtId="167" fontId="15" fillId="9" borderId="3" applyAlignment="1" pivotButton="0" quotePrefix="0" xfId="0">
      <alignment horizontal="right" vertical="center"/>
    </xf>
    <xf numFmtId="1" fontId="9" fillId="9" borderId="3" applyAlignment="1" pivotButton="0" quotePrefix="0" xfId="0">
      <alignment horizontal="right" vertical="center"/>
    </xf>
    <xf numFmtId="167" fontId="9" fillId="6" borderId="3" applyAlignment="1" pivotButton="0" quotePrefix="0" xfId="0">
      <alignment horizontal="right" vertical="center"/>
    </xf>
    <xf numFmtId="167" fontId="9" fillId="9" borderId="3" applyAlignment="1" pivotButton="0" quotePrefix="0" xfId="0">
      <alignment horizontal="right" vertical="center"/>
    </xf>
    <xf numFmtId="0" fontId="7" fillId="8" borderId="2" applyAlignment="1" pivotButton="0" quotePrefix="0" xfId="0">
      <alignment horizontal="center" vertical="center"/>
    </xf>
    <xf numFmtId="165" fontId="10" fillId="5" borderId="3" applyAlignment="1" pivotButton="0" quotePrefix="0" xfId="0">
      <alignment horizontal="right" vertical="center"/>
    </xf>
    <xf numFmtId="0" fontId="5" fillId="5" borderId="3" applyAlignment="1" pivotButton="0" quotePrefix="0" xfId="0">
      <alignment horizontal="left" vertical="center" indent="1"/>
    </xf>
    <xf numFmtId="165" fontId="10" fillId="8" borderId="3" applyAlignment="1" pivotButton="0" quotePrefix="0" xfId="0">
      <alignment horizontal="right" vertical="center"/>
    </xf>
    <xf numFmtId="0" fontId="11" fillId="10" borderId="4" applyAlignment="1" pivotButton="0" quotePrefix="0" xfId="0">
      <alignment horizontal="left" vertical="center" indent="2"/>
    </xf>
    <xf numFmtId="164" fontId="11" fillId="10" borderId="4" applyAlignment="1" pivotButton="0" quotePrefix="0" xfId="0">
      <alignment horizontal="right" vertical="center"/>
    </xf>
    <xf numFmtId="165" fontId="11" fillId="10" borderId="4" applyAlignment="1" pivotButton="0" quotePrefix="0" xfId="0">
      <alignment horizontal="right" vertical="center"/>
    </xf>
    <xf numFmtId="168" fontId="9" fillId="6" borderId="3" applyAlignment="1" pivotButton="0" quotePrefix="0" xfId="0">
      <alignment horizontal="right" vertical="center"/>
    </xf>
    <xf numFmtId="168" fontId="9" fillId="9" borderId="3" applyAlignment="1" pivotButton="0" quotePrefix="0" xfId="0">
      <alignment horizontal="right" vertical="center"/>
    </xf>
    <xf numFmtId="165" fontId="9" fillId="11" borderId="3" applyAlignment="1" pivotButton="0" quotePrefix="0" xfId="0">
      <alignment horizontal="right" vertical="center"/>
    </xf>
    <xf numFmtId="0" fontId="11" fillId="2" borderId="1" applyAlignment="1" pivotButton="0" quotePrefix="0" xfId="0">
      <alignment horizontal="left" vertical="center" indent="1"/>
    </xf>
    <xf numFmtId="0" fontId="6" fillId="2" borderId="1" applyAlignment="1" pivotButton="0" quotePrefix="0" xfId="0">
      <alignment horizontal="right" vertical="center"/>
    </xf>
    <xf numFmtId="0" fontId="6" fillId="2" borderId="1" applyAlignment="1" pivotButton="0" quotePrefix="0" xfId="0">
      <alignment horizontal="left" vertical="center" indent="1"/>
    </xf>
    <xf numFmtId="0" fontId="15" fillId="5" borderId="3" applyAlignment="1" pivotButton="0" quotePrefix="0" xfId="0">
      <alignment horizontal="right" vertical="center"/>
    </xf>
    <xf numFmtId="0" fontId="0" fillId="5" borderId="3" pivotButton="0" quotePrefix="0" xfId="0"/>
    <xf numFmtId="0" fontId="15" fillId="7" borderId="3" applyAlignment="1" pivotButton="0" quotePrefix="0" xfId="0">
      <alignment horizontal="right" vertical="center"/>
    </xf>
    <xf numFmtId="0" fontId="0" fillId="7" borderId="3" pivotButton="0" quotePrefix="0" xfId="0"/>
    <xf numFmtId="0" fontId="15" fillId="8" borderId="3" applyAlignment="1" pivotButton="0" quotePrefix="0" xfId="0">
      <alignment horizontal="right" vertical="center"/>
    </xf>
    <xf numFmtId="0" fontId="0" fillId="8" borderId="3" pivotButton="0" quotePrefix="0" xfId="0"/>
    <xf numFmtId="0" fontId="15" fillId="9" borderId="3" applyAlignment="1" pivotButton="0" quotePrefix="0" xfId="0">
      <alignment horizontal="right" vertical="center"/>
    </xf>
    <xf numFmtId="0" fontId="0" fillId="9" borderId="3" pivotButton="0" quotePrefix="0" xfId="0"/>
    <xf numFmtId="0" fontId="15" fillId="11" borderId="3" applyAlignment="1" pivotButton="0" quotePrefix="0" xfId="0">
      <alignment horizontal="right" vertical="center"/>
    </xf>
    <xf numFmtId="0" fontId="0" fillId="11" borderId="3" pivotButton="0" quotePrefix="0" xfId="0"/>
    <xf numFmtId="0" fontId="15" fillId="6" borderId="3" applyAlignment="1" pivotButton="0" quotePrefix="0" xfId="0">
      <alignment horizontal="right" vertical="center"/>
    </xf>
    <xf numFmtId="0" fontId="0" fillId="6" borderId="3" pivotButton="0" quotePrefix="0" xfId="0"/>
    <xf numFmtId="0" fontId="2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  <xf numFmtId="0" fontId="6" fillId="2" borderId="1" applyAlignment="1" pivotButton="0" quotePrefix="0" xfId="0">
      <alignment horizontal="center" vertical="center"/>
    </xf>
    <xf numFmtId="0" fontId="11" fillId="4" borderId="0" pivotButton="0" quotePrefix="0" xfId="0"/>
    <xf numFmtId="0" fontId="11" fillId="4" borderId="1" applyAlignment="1" pivotButton="0" quotePrefix="0" xfId="0">
      <alignment horizontal="left" vertical="center" indent="1"/>
    </xf>
    <xf numFmtId="0" fontId="8" fillId="7" borderId="6" applyAlignment="1" pivotButton="0" quotePrefix="0" xfId="0">
      <alignment horizontal="left" vertical="center" indent="2"/>
    </xf>
    <xf numFmtId="0" fontId="24" fillId="7" borderId="6" applyAlignment="1" pivotButton="0" quotePrefix="0" xfId="0">
      <alignment horizontal="right" vertical="center"/>
    </xf>
    <xf numFmtId="0" fontId="17" fillId="7" borderId="6" applyAlignment="1" pivotButton="0" quotePrefix="0" xfId="0">
      <alignment horizontal="left" vertical="center" indent="1"/>
    </xf>
    <xf numFmtId="0" fontId="5" fillId="7" borderId="6" applyAlignment="1" pivotButton="0" quotePrefix="0" xfId="0">
      <alignment horizontal="left" vertical="center" indent="1"/>
    </xf>
    <xf numFmtId="0" fontId="8" fillId="6" borderId="6" applyAlignment="1" pivotButton="0" quotePrefix="0" xfId="0">
      <alignment horizontal="left" vertical="center" indent="2"/>
    </xf>
    <xf numFmtId="0" fontId="24" fillId="6" borderId="6" applyAlignment="1" pivotButton="0" quotePrefix="0" xfId="0">
      <alignment horizontal="right" vertical="center"/>
    </xf>
    <xf numFmtId="0" fontId="17" fillId="6" borderId="6" applyAlignment="1" pivotButton="0" quotePrefix="0" xfId="0">
      <alignment horizontal="left" vertical="center" indent="1"/>
    </xf>
    <xf numFmtId="0" fontId="5" fillId="6" borderId="6" applyAlignment="1" pivotButton="0" quotePrefix="0" xfId="0">
      <alignment horizontal="left" vertical="center" indent="1"/>
    </xf>
    <xf numFmtId="0" fontId="23" fillId="0" borderId="0" applyAlignment="1" pivotButton="0" quotePrefix="0" xfId="0">
      <alignment vertical="center"/>
    </xf>
    <xf numFmtId="0" fontId="23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 wrapText="1"/>
    </xf>
    <xf numFmtId="0" fontId="11" fillId="4" borderId="0" applyAlignment="1" pivotButton="0" quotePrefix="0" xfId="0">
      <alignment vertical="center"/>
    </xf>
    <xf numFmtId="0" fontId="11" fillId="4" borderId="0" applyAlignment="1" pivotButton="0" quotePrefix="0" xfId="0">
      <alignment horizontal="center" vertical="center"/>
    </xf>
    <xf numFmtId="0" fontId="11" fillId="4" borderId="0" applyAlignment="1" pivotButton="0" quotePrefix="0" xfId="0">
      <alignment vertical="center" wrapText="1"/>
    </xf>
    <xf numFmtId="10" fontId="24" fillId="6" borderId="6" applyAlignment="1" pivotButton="0" quotePrefix="0" xfId="0">
      <alignment horizontal="right" vertical="center"/>
    </xf>
    <xf numFmtId="9" fontId="24" fillId="7" borderId="6" applyAlignment="1" pivotButton="0" quotePrefix="0" xfId="0">
      <alignment horizontal="right" vertical="center"/>
    </xf>
    <xf numFmtId="169" fontId="24" fillId="6" borderId="6" applyAlignment="1" pivotButton="0" quotePrefix="0" xfId="0">
      <alignment horizontal="right" vertical="center"/>
    </xf>
    <xf numFmtId="169" fontId="24" fillId="7" borderId="6" applyAlignment="1" pivotButton="0" quotePrefix="0" xfId="0">
      <alignment horizontal="right" vertical="center"/>
    </xf>
    <xf numFmtId="0" fontId="23" fillId="0" borderId="0" applyAlignment="1" pivotButton="0" quotePrefix="0" xfId="0">
      <alignment vertical="center" wrapText="1"/>
    </xf>
    <xf numFmtId="9" fontId="23" fillId="0" borderId="0" applyAlignment="1" pivotButton="0" quotePrefix="0" xfId="0">
      <alignment horizontal="center" vertical="center"/>
    </xf>
    <xf numFmtId="0" fontId="23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0" fontId="11" fillId="4" borderId="0" applyAlignment="1" pivotButton="0" quotePrefix="0" xfId="0">
      <alignment horizontal="center"/>
    </xf>
    <xf numFmtId="170" fontId="24" fillId="7" borderId="6" applyAlignment="1" pivotButton="0" quotePrefix="0" xfId="0">
      <alignment horizontal="right" vertical="center"/>
    </xf>
    <xf numFmtId="0" fontId="23" fillId="0" borderId="0" pivotButton="0" quotePrefix="0" xfId="0"/>
    <xf numFmtId="9" fontId="23" fillId="0" borderId="0" applyAlignment="1" pivotButton="0" quotePrefix="0" xfId="0">
      <alignment horizontal="center"/>
    </xf>
    <xf numFmtId="170" fontId="24" fillId="6" borderId="6" applyAlignment="1" pivotButton="0" quotePrefix="0" xfId="0">
      <alignment horizontal="right" vertical="center"/>
    </xf>
    <xf numFmtId="0" fontId="25" fillId="7" borderId="6" applyAlignment="1" pivotButton="0" quotePrefix="0" xfId="0">
      <alignment horizontal="right" vertical="center"/>
    </xf>
    <xf numFmtId="170" fontId="25" fillId="7" borderId="6" applyAlignment="1" pivotButton="0" quotePrefix="0" xfId="0">
      <alignment horizontal="right" vertical="center"/>
    </xf>
    <xf numFmtId="171" fontId="26" fillId="5" borderId="6" applyAlignment="1" pivotButton="0" quotePrefix="0" xfId="2">
      <alignment horizontal="right" vertical="center"/>
    </xf>
    <xf numFmtId="10" fontId="25" fillId="7" borderId="6" applyAlignment="1" pivotButton="0" quotePrefix="0" xfId="0">
      <alignment horizontal="right" vertical="center"/>
    </xf>
    <xf numFmtId="10" fontId="25" fillId="7" borderId="6" applyAlignment="1" pivotButton="0" quotePrefix="0" xfId="3">
      <alignment horizontal="right" vertical="center"/>
    </xf>
    <xf numFmtId="10" fontId="25" fillId="5" borderId="6" applyAlignment="1" pivotButton="0" quotePrefix="0" xfId="3">
      <alignment horizontal="right" vertical="center"/>
    </xf>
    <xf numFmtId="169" fontId="25" fillId="7" borderId="6" applyAlignment="1" pivotButton="0" quotePrefix="0" xfId="0">
      <alignment horizontal="right" vertical="center"/>
    </xf>
    <xf numFmtId="2" fontId="25" fillId="7" borderId="6" applyAlignment="1" pivotButton="0" quotePrefix="0" xfId="0">
      <alignment horizontal="right" vertical="center"/>
    </xf>
    <xf numFmtId="0" fontId="25" fillId="6" borderId="6" applyAlignment="1" pivotButton="0" quotePrefix="0" xfId="0">
      <alignment horizontal="right" vertical="center"/>
    </xf>
    <xf numFmtId="169" fontId="25" fillId="6" borderId="6" applyAlignment="1" pivotButton="0" quotePrefix="0" xfId="0">
      <alignment horizontal="right" vertical="center"/>
    </xf>
    <xf numFmtId="0" fontId="26" fillId="5" borderId="6" applyAlignment="1" pivotButton="0" quotePrefix="0" xfId="0">
      <alignment horizontal="right" vertical="center"/>
    </xf>
    <xf numFmtId="170" fontId="25" fillId="6" borderId="6" applyAlignment="1" pivotButton="0" quotePrefix="0" xfId="0">
      <alignment horizontal="right" vertical="center"/>
    </xf>
    <xf numFmtId="2" fontId="26" fillId="5" borderId="6" applyAlignment="1" pivotButton="0" quotePrefix="0" xfId="0">
      <alignment horizontal="right" vertical="center"/>
    </xf>
    <xf numFmtId="172" fontId="25" fillId="7" borderId="6" applyAlignment="1" pivotButton="0" quotePrefix="0" xfId="0">
      <alignment horizontal="right" vertical="center"/>
    </xf>
    <xf numFmtId="0" fontId="27" fillId="11" borderId="6" applyAlignment="1" pivotButton="0" quotePrefix="0" xfId="0">
      <alignment horizontal="center" vertical="center"/>
    </xf>
    <xf numFmtId="10" fontId="26" fillId="5" borderId="6" applyAlignment="1" pivotButton="0" quotePrefix="0" xfId="3">
      <alignment horizontal="right" vertical="center"/>
    </xf>
    <xf numFmtId="10" fontId="26" fillId="5" borderId="6" applyAlignment="1" pivotButton="0" quotePrefix="0" xfId="0">
      <alignment horizontal="right" vertical="center"/>
    </xf>
    <xf numFmtId="0" fontId="11" fillId="4" borderId="0" applyAlignment="1" pivotButton="0" quotePrefix="0" xfId="0">
      <alignment wrapText="1"/>
    </xf>
    <xf numFmtId="0" fontId="6" fillId="10" borderId="0" pivotButton="0" quotePrefix="0" xfId="0"/>
    <xf numFmtId="0" fontId="6" fillId="10" borderId="0" applyAlignment="1" pivotButton="0" quotePrefix="0" xfId="0">
      <alignment horizontal="left" vertical="center" indent="1"/>
    </xf>
    <xf numFmtId="0" fontId="29" fillId="0" borderId="0" applyAlignment="1" pivotButton="0" quotePrefix="0" xfId="0">
      <alignment vertical="center" wrapText="1"/>
    </xf>
    <xf numFmtId="0" fontId="17" fillId="7" borderId="10" applyAlignment="1" pivotButton="0" quotePrefix="0" xfId="0">
      <alignment horizontal="left" vertical="center" wrapText="1" indent="1"/>
    </xf>
    <xf numFmtId="0" fontId="17" fillId="6" borderId="10" applyAlignment="1" pivotButton="0" quotePrefix="0" xfId="0">
      <alignment horizontal="left" vertical="center" wrapText="1" indent="1"/>
    </xf>
    <xf numFmtId="0" fontId="0" fillId="0" borderId="11" applyAlignment="1" pivotButton="0" quotePrefix="0" xfId="0">
      <alignment wrapText="1"/>
    </xf>
    <xf numFmtId="0" fontId="35" fillId="7" borderId="6" applyAlignment="1" pivotButton="0" quotePrefix="0" xfId="0">
      <alignment vertical="center"/>
    </xf>
    <xf numFmtId="0" fontId="35" fillId="6" borderId="6" applyAlignment="1" pivotButton="0" quotePrefix="0" xfId="0">
      <alignment vertical="center"/>
    </xf>
    <xf numFmtId="0" fontId="35" fillId="0" borderId="0" applyAlignment="1" pivotButton="0" quotePrefix="0" xfId="0">
      <alignment vertical="center"/>
    </xf>
    <xf numFmtId="0" fontId="36" fillId="6" borderId="6" pivotButton="0" quotePrefix="0" xfId="0"/>
    <xf numFmtId="0" fontId="36" fillId="7" borderId="6" pivotButton="0" quotePrefix="0" xfId="0"/>
    <xf numFmtId="0" fontId="36" fillId="0" borderId="0" pivotButton="0" quotePrefix="0" xfId="0"/>
    <xf numFmtId="0" fontId="37" fillId="7" borderId="6" pivotButton="0" quotePrefix="0" xfId="0"/>
    <xf numFmtId="0" fontId="37" fillId="6" borderId="6" pivotButton="0" quotePrefix="0" xfId="0"/>
    <xf numFmtId="0" fontId="8" fillId="0" borderId="0" applyAlignment="1" pivotButton="0" quotePrefix="0" xfId="0">
      <alignment horizontal="left" vertical="center" indent="2"/>
    </xf>
    <xf numFmtId="0" fontId="25" fillId="0" borderId="0" applyAlignment="1" pivotButton="0" quotePrefix="0" xfId="0">
      <alignment horizontal="right" vertical="center"/>
    </xf>
    <xf numFmtId="0" fontId="0" fillId="0" borderId="14" pivotButton="0" quotePrefix="0" xfId="0"/>
    <xf numFmtId="0" fontId="8" fillId="0" borderId="14" applyAlignment="1" pivotButton="0" quotePrefix="0" xfId="0">
      <alignment horizontal="left" vertical="center" indent="2"/>
    </xf>
    <xf numFmtId="0" fontId="25" fillId="0" borderId="14" applyAlignment="1" pivotButton="0" quotePrefix="0" xfId="0">
      <alignment horizontal="right" vertical="center"/>
    </xf>
    <xf numFmtId="0" fontId="0" fillId="0" borderId="15" pivotButton="0" quotePrefix="0" xfId="0"/>
    <xf numFmtId="0" fontId="8" fillId="0" borderId="15" applyAlignment="1" pivotButton="0" quotePrefix="0" xfId="0">
      <alignment horizontal="left" vertical="center" indent="2"/>
    </xf>
    <xf numFmtId="0" fontId="25" fillId="0" borderId="15" applyAlignment="1" pivotButton="0" quotePrefix="0" xfId="0">
      <alignment horizontal="right" vertical="center"/>
    </xf>
    <xf numFmtId="0" fontId="25" fillId="7" borderId="9" applyAlignment="1" pivotButton="0" quotePrefix="0" xfId="0">
      <alignment horizontal="right" vertical="center"/>
    </xf>
    <xf numFmtId="0" fontId="26" fillId="5" borderId="9" applyAlignment="1" pivotButton="0" quotePrefix="0" xfId="0">
      <alignment horizontal="right" vertical="center"/>
    </xf>
    <xf numFmtId="171" fontId="25" fillId="0" borderId="0" applyAlignment="1" pivotButton="0" quotePrefix="0" xfId="2">
      <alignment horizontal="right" vertical="center"/>
    </xf>
    <xf numFmtId="171" fontId="25" fillId="0" borderId="0" applyAlignment="1" pivotButton="0" quotePrefix="0" xfId="0">
      <alignment horizontal="right" vertical="center"/>
    </xf>
    <xf numFmtId="170" fontId="25" fillId="0" borderId="0" applyAlignment="1" pivotButton="0" quotePrefix="0" xfId="0">
      <alignment horizontal="right" vertical="center"/>
    </xf>
    <xf numFmtId="169" fontId="25" fillId="0" borderId="0" applyAlignment="1" pivotButton="0" quotePrefix="0" xfId="0">
      <alignment horizontal="right" vertical="center"/>
    </xf>
    <xf numFmtId="0" fontId="26" fillId="0" borderId="0" applyAlignment="1" pivotButton="0" quotePrefix="0" xfId="0">
      <alignment horizontal="right" vertical="center"/>
    </xf>
    <xf numFmtId="171" fontId="26" fillId="0" borderId="0" applyAlignment="1" pivotButton="0" quotePrefix="0" xfId="2">
      <alignment horizontal="right" vertical="center"/>
    </xf>
    <xf numFmtId="171" fontId="26" fillId="0" borderId="0" applyAlignment="1" pivotButton="0" quotePrefix="0" xfId="0">
      <alignment horizontal="right" vertical="center"/>
    </xf>
    <xf numFmtId="10" fontId="25" fillId="0" borderId="0" applyAlignment="1" pivotButton="0" quotePrefix="0" xfId="3">
      <alignment horizontal="right" vertical="center"/>
    </xf>
    <xf numFmtId="10" fontId="25" fillId="7" borderId="7" applyAlignment="1" pivotButton="0" quotePrefix="0" xfId="0">
      <alignment horizontal="right" vertical="center"/>
    </xf>
    <xf numFmtId="2" fontId="25" fillId="7" borderId="7" applyAlignment="1" pivotButton="0" quotePrefix="0" xfId="0">
      <alignment horizontal="right" vertical="center"/>
    </xf>
    <xf numFmtId="0" fontId="25" fillId="7" borderId="7" applyAlignment="1" pivotButton="0" quotePrefix="0" xfId="0">
      <alignment horizontal="right" vertical="center"/>
    </xf>
    <xf numFmtId="2" fontId="25" fillId="5" borderId="7" applyAlignment="1" pivotButton="0" quotePrefix="0" xfId="0">
      <alignment horizontal="right" vertical="center"/>
    </xf>
    <xf numFmtId="10" fontId="25" fillId="7" borderId="7" applyAlignment="1" pivotButton="0" quotePrefix="0" xfId="3">
      <alignment horizontal="right" vertical="center"/>
    </xf>
    <xf numFmtId="0" fontId="11" fillId="0" borderId="0" applyAlignment="1" pivotButton="0" quotePrefix="0" xfId="0">
      <alignment horizontal="left" vertical="center" indent="1"/>
    </xf>
    <xf numFmtId="0" fontId="8" fillId="7" borderId="0" applyAlignment="1" pivotButton="0" quotePrefix="0" xfId="0">
      <alignment horizontal="left" vertical="center" indent="2"/>
    </xf>
    <xf numFmtId="0" fontId="25" fillId="7" borderId="0" applyAlignment="1" pivotButton="0" quotePrefix="0" xfId="0">
      <alignment horizontal="right" vertical="center"/>
    </xf>
    <xf numFmtId="0" fontId="8" fillId="7" borderId="14" applyAlignment="1" pivotButton="0" quotePrefix="0" xfId="0">
      <alignment horizontal="left" vertical="center" indent="2"/>
    </xf>
    <xf numFmtId="0" fontId="25" fillId="7" borderId="14" applyAlignment="1" pivotButton="0" quotePrefix="0" xfId="0">
      <alignment horizontal="right" vertical="center"/>
    </xf>
    <xf numFmtId="0" fontId="0" fillId="0" borderId="19" pivotButton="0" quotePrefix="0" xfId="0"/>
    <xf numFmtId="0" fontId="25" fillId="0" borderId="19" applyAlignment="1" pivotButton="0" quotePrefix="0" xfId="0">
      <alignment horizontal="right" vertical="center"/>
    </xf>
    <xf numFmtId="0" fontId="26" fillId="0" borderId="19" applyAlignment="1" pivotButton="0" quotePrefix="0" xfId="0">
      <alignment horizontal="right" vertical="center"/>
    </xf>
    <xf numFmtId="0" fontId="25" fillId="12" borderId="6" applyAlignment="1" pivotButton="0" quotePrefix="0" xfId="0">
      <alignment horizontal="right" vertical="center"/>
    </xf>
    <xf numFmtId="0" fontId="25" fillId="12" borderId="9" applyAlignment="1" pivotButton="0" quotePrefix="0" xfId="0">
      <alignment horizontal="right" vertical="center"/>
    </xf>
    <xf numFmtId="0" fontId="25" fillId="7" borderId="20" applyAlignment="1" pivotButton="0" quotePrefix="0" xfId="0">
      <alignment horizontal="right" vertical="center"/>
    </xf>
    <xf numFmtId="169" fontId="26" fillId="5" borderId="20" applyAlignment="1" pivotButton="0" quotePrefix="0" xfId="0">
      <alignment horizontal="right" vertical="center"/>
    </xf>
    <xf numFmtId="0" fontId="26" fillId="0" borderId="14" applyAlignment="1" pivotButton="0" quotePrefix="0" xfId="0">
      <alignment horizontal="right" vertical="center"/>
    </xf>
    <xf numFmtId="0" fontId="26" fillId="0" borderId="21" applyAlignment="1" pivotButton="0" quotePrefix="0" xfId="0">
      <alignment horizontal="right" vertical="center"/>
    </xf>
    <xf numFmtId="0" fontId="8" fillId="14" borderId="6" applyAlignment="1" pivotButton="0" quotePrefix="0" xfId="0">
      <alignment horizontal="left" vertical="center" indent="2"/>
    </xf>
    <xf numFmtId="0" fontId="40" fillId="0" borderId="0" pivotButton="0" quotePrefix="0" xfId="0"/>
    <xf numFmtId="0" fontId="41" fillId="0" borderId="0" applyAlignment="1" pivotButton="0" quotePrefix="0" xfId="0">
      <alignment horizontal="right" vertical="center"/>
    </xf>
    <xf numFmtId="0" fontId="42" fillId="0" borderId="0" applyAlignment="1" pivotButton="0" quotePrefix="0" xfId="0">
      <alignment horizontal="right" vertical="center"/>
    </xf>
    <xf numFmtId="0" fontId="38" fillId="0" borderId="0" applyAlignment="1" pivotButton="0" quotePrefix="0" xfId="0">
      <alignment horizontal="left" vertical="center" indent="2"/>
    </xf>
    <xf numFmtId="10" fontId="25" fillId="7" borderId="10" applyAlignment="1" pivotButton="0" quotePrefix="0" xfId="0">
      <alignment horizontal="right" vertical="center"/>
    </xf>
    <xf numFmtId="169" fontId="25" fillId="7" borderId="10" applyAlignment="1" pivotButton="0" quotePrefix="0" xfId="0">
      <alignment horizontal="right" vertical="center"/>
    </xf>
    <xf numFmtId="169" fontId="25" fillId="7" borderId="20" applyAlignment="1" pivotButton="0" quotePrefix="0" xfId="0">
      <alignment horizontal="right" vertical="center"/>
    </xf>
    <xf numFmtId="169" fontId="25" fillId="7" borderId="22" applyAlignment="1" pivotButton="0" quotePrefix="0" xfId="0">
      <alignment horizontal="right" vertical="center"/>
    </xf>
    <xf numFmtId="0" fontId="8" fillId="7" borderId="27" applyAlignment="1" pivotButton="0" quotePrefix="0" xfId="0">
      <alignment horizontal="left" vertical="center" indent="2"/>
    </xf>
    <xf numFmtId="170" fontId="25" fillId="7" borderId="28" applyAlignment="1" pivotButton="0" quotePrefix="0" xfId="0">
      <alignment horizontal="right" vertical="center"/>
    </xf>
    <xf numFmtId="0" fontId="13" fillId="9" borderId="22" applyAlignment="1" pivotButton="0" quotePrefix="0" xfId="0">
      <alignment horizontal="right" vertical="center"/>
    </xf>
    <xf numFmtId="0" fontId="36" fillId="0" borderId="7" pivotButton="0" quotePrefix="0" xfId="0"/>
    <xf numFmtId="0" fontId="36" fillId="0" borderId="7" applyAlignment="1" pivotButton="0" quotePrefix="0" xfId="0">
      <alignment horizontal="center"/>
    </xf>
    <xf numFmtId="10" fontId="28" fillId="15" borderId="0" pivotButton="0" quotePrefix="0" xfId="3"/>
    <xf numFmtId="169" fontId="25" fillId="12" borderId="6" applyAlignment="1" pivotButton="0" quotePrefix="0" xfId="0">
      <alignment horizontal="right" vertical="center"/>
    </xf>
    <xf numFmtId="169" fontId="25" fillId="12" borderId="10" applyAlignment="1" pivotButton="0" quotePrefix="0" xfId="0">
      <alignment horizontal="right" vertical="center"/>
    </xf>
    <xf numFmtId="169" fontId="25" fillId="12" borderId="17" applyAlignment="1" pivotButton="0" quotePrefix="0" xfId="0">
      <alignment horizontal="right" vertical="center"/>
    </xf>
    <xf numFmtId="169" fontId="25" fillId="12" borderId="24" applyAlignment="1" pivotButton="0" quotePrefix="0" xfId="0">
      <alignment horizontal="right" vertical="center"/>
    </xf>
    <xf numFmtId="169" fontId="25" fillId="6" borderId="17" applyAlignment="1" pivotButton="0" quotePrefix="0" xfId="0">
      <alignment horizontal="right" vertical="center"/>
    </xf>
    <xf numFmtId="170" fontId="25" fillId="6" borderId="24" applyAlignment="1" pivotButton="0" quotePrefix="0" xfId="0">
      <alignment horizontal="right" vertical="center"/>
    </xf>
    <xf numFmtId="170" fontId="25" fillId="6" borderId="10" applyAlignment="1" pivotButton="0" quotePrefix="0" xfId="0">
      <alignment horizontal="right" vertical="center"/>
    </xf>
    <xf numFmtId="171" fontId="4" fillId="0" borderId="0" applyAlignment="1" pivotButton="0" quotePrefix="0" xfId="2">
      <alignment horizontal="right" vertical="center"/>
    </xf>
    <xf numFmtId="0" fontId="4" fillId="0" borderId="0" applyAlignment="1" pivotButton="0" quotePrefix="0" xfId="0">
      <alignment horizontal="right" vertical="center"/>
    </xf>
    <xf numFmtId="0" fontId="4" fillId="16" borderId="7" applyAlignment="1" pivotButton="0" quotePrefix="0" xfId="0">
      <alignment horizontal="left" vertical="center" indent="2"/>
    </xf>
    <xf numFmtId="10" fontId="4" fillId="16" borderId="7" applyAlignment="1" pivotButton="0" quotePrefix="0" xfId="2">
      <alignment horizontal="right" vertical="center"/>
    </xf>
    <xf numFmtId="173" fontId="5" fillId="0" borderId="0" applyAlignment="1" pivotButton="0" quotePrefix="0" xfId="0">
      <alignment horizontal="left" vertical="center" indent="1"/>
    </xf>
    <xf numFmtId="0" fontId="5" fillId="7" borderId="0" applyAlignment="1" pivotButton="0" quotePrefix="0" xfId="0">
      <alignment horizontal="left" vertical="center" indent="1"/>
    </xf>
    <xf numFmtId="0" fontId="17" fillId="0" borderId="0" pivotButton="0" quotePrefix="0" xfId="0"/>
    <xf numFmtId="0" fontId="9" fillId="0" borderId="0" applyAlignment="1" pivotButton="0" quotePrefix="0" xfId="0">
      <alignment horizontal="right" vertical="center"/>
    </xf>
    <xf numFmtId="0" fontId="9" fillId="7" borderId="0" applyAlignment="1" pivotButton="0" quotePrefix="0" xfId="0">
      <alignment horizontal="right" vertical="center"/>
    </xf>
    <xf numFmtId="0" fontId="38" fillId="14" borderId="6" applyAlignment="1" pivotButton="0" quotePrefix="0" xfId="0">
      <alignment horizontal="left" vertical="center" indent="2"/>
    </xf>
    <xf numFmtId="170" fontId="9" fillId="6" borderId="7" applyAlignment="1" pivotButton="0" quotePrefix="0" xfId="0">
      <alignment horizontal="right" vertical="center"/>
    </xf>
    <xf numFmtId="170" fontId="9" fillId="7" borderId="7" applyAlignment="1" pivotButton="0" quotePrefix="0" xfId="0">
      <alignment horizontal="right" vertical="center"/>
    </xf>
    <xf numFmtId="0" fontId="38" fillId="17" borderId="7" applyAlignment="1" pivotButton="0" quotePrefix="0" xfId="0">
      <alignment horizontal="left" vertical="center" indent="2"/>
    </xf>
    <xf numFmtId="0" fontId="27" fillId="11" borderId="20" applyAlignment="1" pivotButton="0" quotePrefix="0" xfId="0">
      <alignment horizontal="center" vertical="center"/>
    </xf>
    <xf numFmtId="170" fontId="9" fillId="6" borderId="8" applyAlignment="1" pivotButton="0" quotePrefix="0" xfId="0">
      <alignment horizontal="right" vertical="center"/>
    </xf>
    <xf numFmtId="0" fontId="18" fillId="0" borderId="0" applyAlignment="1" pivotButton="0" quotePrefix="0" xfId="0">
      <alignment horizontal="left" vertical="center" indent="2"/>
    </xf>
    <xf numFmtId="0" fontId="32" fillId="0" borderId="0" pivotButton="0" quotePrefix="0" xfId="0"/>
    <xf numFmtId="0" fontId="33" fillId="0" borderId="0" pivotButton="0" quotePrefix="0" xfId="0"/>
    <xf numFmtId="10" fontId="32" fillId="15" borderId="7" applyAlignment="1" pivotButton="0" quotePrefix="0" xfId="3">
      <alignment horizontal="right" vertical="center"/>
    </xf>
    <xf numFmtId="2" fontId="32" fillId="15" borderId="7" applyAlignment="1" pivotButton="0" quotePrefix="0" xfId="0">
      <alignment horizontal="right" vertical="center"/>
    </xf>
    <xf numFmtId="10" fontId="32" fillId="15" borderId="7" applyAlignment="1" pivotButton="0" quotePrefix="0" xfId="0">
      <alignment horizontal="right" vertical="center"/>
    </xf>
    <xf numFmtId="10" fontId="32" fillId="0" borderId="7" applyAlignment="1" pivotButton="0" quotePrefix="0" xfId="3">
      <alignment horizontal="right" vertical="center"/>
    </xf>
    <xf numFmtId="2" fontId="32" fillId="0" borderId="7" applyAlignment="1" pivotButton="0" quotePrefix="0" xfId="0">
      <alignment horizontal="right" vertical="center"/>
    </xf>
    <xf numFmtId="10" fontId="32" fillId="0" borderId="7" applyAlignment="1" pivotButton="0" quotePrefix="0" xfId="0">
      <alignment horizontal="right" vertical="center"/>
    </xf>
    <xf numFmtId="10" fontId="30" fillId="19" borderId="7" applyAlignment="1" pivotButton="0" quotePrefix="0" xfId="3">
      <alignment horizontal="right" vertical="center"/>
    </xf>
    <xf numFmtId="2" fontId="30" fillId="19" borderId="7" applyAlignment="1" pivotButton="0" quotePrefix="0" xfId="0">
      <alignment horizontal="right" vertical="center"/>
    </xf>
    <xf numFmtId="10" fontId="30" fillId="19" borderId="7" applyAlignment="1" pivotButton="0" quotePrefix="0" xfId="0">
      <alignment horizontal="right" vertical="center"/>
    </xf>
    <xf numFmtId="9" fontId="25" fillId="15" borderId="7" applyAlignment="1" pivotButton="0" quotePrefix="0" xfId="3">
      <alignment horizontal="right" vertical="center"/>
    </xf>
    <xf numFmtId="10" fontId="25" fillId="15" borderId="7" applyAlignment="1" pivotButton="0" quotePrefix="0" xfId="0">
      <alignment horizontal="right" vertical="center"/>
    </xf>
    <xf numFmtId="2" fontId="25" fillId="15" borderId="7" applyAlignment="1" pivotButton="0" quotePrefix="0" xfId="0">
      <alignment horizontal="right" vertical="center"/>
    </xf>
    <xf numFmtId="9" fontId="25" fillId="0" borderId="7" applyAlignment="1" pivotButton="0" quotePrefix="0" xfId="3">
      <alignment horizontal="right" vertical="center"/>
    </xf>
    <xf numFmtId="10" fontId="25" fillId="0" borderId="7" applyAlignment="1" pivotButton="0" quotePrefix="0" xfId="0">
      <alignment horizontal="right" vertical="center"/>
    </xf>
    <xf numFmtId="2" fontId="25" fillId="0" borderId="7" applyAlignment="1" pivotButton="0" quotePrefix="0" xfId="0">
      <alignment horizontal="right" vertical="center"/>
    </xf>
    <xf numFmtId="9" fontId="26" fillId="19" borderId="7" applyAlignment="1" pivotButton="0" quotePrefix="0" xfId="3">
      <alignment horizontal="right" vertical="center"/>
    </xf>
    <xf numFmtId="10" fontId="26" fillId="19" borderId="7" applyAlignment="1" pivotButton="0" quotePrefix="0" xfId="0">
      <alignment horizontal="right" vertical="center"/>
    </xf>
    <xf numFmtId="2" fontId="26" fillId="19" borderId="7" applyAlignment="1" pivotButton="0" quotePrefix="0" xfId="0">
      <alignment horizontal="right" vertical="center"/>
    </xf>
    <xf numFmtId="0" fontId="6" fillId="0" borderId="0" applyAlignment="1" pivotButton="0" quotePrefix="0" xfId="0">
      <alignment horizontal="center" vertical="center" wrapText="1"/>
    </xf>
    <xf numFmtId="171" fontId="25" fillId="6" borderId="6" applyAlignment="1" pivotButton="0" quotePrefix="0" xfId="2">
      <alignment horizontal="right" vertical="center"/>
    </xf>
    <xf numFmtId="10" fontId="25" fillId="6" borderId="6" applyAlignment="1" pivotButton="0" quotePrefix="0" xfId="0">
      <alignment horizontal="right" vertical="center"/>
    </xf>
    <xf numFmtId="2" fontId="25" fillId="6" borderId="6" applyAlignment="1" pivotButton="0" quotePrefix="0" xfId="0">
      <alignment horizontal="right" vertical="center"/>
    </xf>
    <xf numFmtId="0" fontId="25" fillId="0" borderId="6" applyAlignment="1" pivotButton="0" quotePrefix="0" xfId="0">
      <alignment horizontal="right" vertical="center"/>
    </xf>
    <xf numFmtId="171" fontId="25" fillId="0" borderId="6" applyAlignment="1" pivotButton="0" quotePrefix="0" xfId="2">
      <alignment horizontal="right" vertical="center"/>
    </xf>
    <xf numFmtId="10" fontId="25" fillId="0" borderId="6" applyAlignment="1" pivotButton="0" quotePrefix="0" xfId="0">
      <alignment horizontal="right" vertical="center"/>
    </xf>
    <xf numFmtId="2" fontId="25" fillId="0" borderId="6" applyAlignment="1" pivotButton="0" quotePrefix="0" xfId="0">
      <alignment horizontal="right" vertical="center"/>
    </xf>
    <xf numFmtId="10" fontId="25" fillId="12" borderId="6" applyAlignment="1" pivotButton="0" quotePrefix="0" xfId="0">
      <alignment horizontal="right" vertical="center"/>
    </xf>
    <xf numFmtId="2" fontId="25" fillId="12" borderId="6" applyAlignment="1" pivotButton="0" quotePrefix="0" xfId="0">
      <alignment horizontal="right" vertical="center"/>
    </xf>
    <xf numFmtId="10" fontId="25" fillId="6" borderId="6" applyAlignment="1" pivotButton="0" quotePrefix="0" xfId="3">
      <alignment horizontal="right" vertical="center"/>
    </xf>
    <xf numFmtId="10" fontId="25" fillId="0" borderId="6" applyAlignment="1" pivotButton="0" quotePrefix="0" xfId="3">
      <alignment horizontal="right" vertical="center"/>
    </xf>
    <xf numFmtId="0" fontId="25" fillId="0" borderId="9" applyAlignment="1" pivotButton="0" quotePrefix="0" xfId="0">
      <alignment horizontal="right" vertical="center"/>
    </xf>
    <xf numFmtId="10" fontId="25" fillId="18" borderId="6" applyAlignment="1" pivotButton="0" quotePrefix="0" xfId="3">
      <alignment horizontal="right" vertical="center"/>
    </xf>
    <xf numFmtId="0" fontId="1" fillId="7" borderId="6" applyAlignment="1" pivotButton="0" quotePrefix="0" xfId="0">
      <alignment horizontal="left" vertical="center" indent="2"/>
    </xf>
    <xf numFmtId="174" fontId="32" fillId="7" borderId="6" applyAlignment="1" pivotButton="0" quotePrefix="0" xfId="0">
      <alignment horizontal="right" vertical="center"/>
    </xf>
    <xf numFmtId="0" fontId="1" fillId="6" borderId="6" applyAlignment="1" pivotButton="0" quotePrefix="0" xfId="0">
      <alignment horizontal="left" vertical="center" indent="2"/>
    </xf>
    <xf numFmtId="174" fontId="32" fillId="12" borderId="6" applyAlignment="1" pivotButton="0" quotePrefix="0" xfId="0">
      <alignment horizontal="right" vertical="center"/>
    </xf>
    <xf numFmtId="0" fontId="32" fillId="12" borderId="6" applyAlignment="1" pivotButton="0" quotePrefix="0" xfId="0">
      <alignment horizontal="right" vertical="center"/>
    </xf>
    <xf numFmtId="0" fontId="32" fillId="12" borderId="9" applyAlignment="1" pivotButton="0" quotePrefix="0" xfId="0">
      <alignment horizontal="right" vertical="center"/>
    </xf>
    <xf numFmtId="169" fontId="32" fillId="7" borderId="6" applyAlignment="1" pivotButton="0" quotePrefix="0" xfId="0">
      <alignment horizontal="right" vertical="center"/>
    </xf>
    <xf numFmtId="169" fontId="32" fillId="7" borderId="9" applyAlignment="1" pivotButton="0" quotePrefix="0" xfId="0">
      <alignment horizontal="right" vertical="center"/>
    </xf>
    <xf numFmtId="0" fontId="31" fillId="5" borderId="12" applyAlignment="1" pivotButton="0" quotePrefix="0" xfId="0">
      <alignment horizontal="left" vertical="center" indent="2"/>
    </xf>
    <xf numFmtId="174" fontId="31" fillId="5" borderId="6" applyAlignment="1" pivotButton="0" quotePrefix="0" xfId="0">
      <alignment horizontal="left" vertical="center" indent="2"/>
    </xf>
    <xf numFmtId="0" fontId="31" fillId="5" borderId="6" applyAlignment="1" pivotButton="0" quotePrefix="0" xfId="0">
      <alignment horizontal="left" vertical="center" indent="2"/>
    </xf>
    <xf numFmtId="0" fontId="32" fillId="7" borderId="6" applyAlignment="1" pivotButton="0" quotePrefix="0" xfId="0">
      <alignment horizontal="right" vertical="center"/>
    </xf>
    <xf numFmtId="0" fontId="32" fillId="7" borderId="9" applyAlignment="1" pivotButton="0" quotePrefix="0" xfId="0">
      <alignment horizontal="right" vertical="center"/>
    </xf>
    <xf numFmtId="175" fontId="32" fillId="12" borderId="6" applyAlignment="1" pivotButton="0" quotePrefix="0" xfId="0">
      <alignment horizontal="right" vertical="center"/>
    </xf>
    <xf numFmtId="175" fontId="32" fillId="12" borderId="9" applyAlignment="1" pivotButton="0" quotePrefix="0" xfId="0">
      <alignment horizontal="right" vertical="center"/>
    </xf>
    <xf numFmtId="2" fontId="32" fillId="7" borderId="6" applyAlignment="1" pivotButton="0" quotePrefix="0" xfId="0">
      <alignment horizontal="right" vertical="center"/>
    </xf>
    <xf numFmtId="2" fontId="32" fillId="7" borderId="9" applyAlignment="1" pivotButton="0" quotePrefix="0" xfId="0">
      <alignment horizontal="right" vertical="center"/>
    </xf>
    <xf numFmtId="9" fontId="32" fillId="12" borderId="6" applyAlignment="1" pivotButton="0" quotePrefix="0" xfId="0">
      <alignment horizontal="right" vertical="center"/>
    </xf>
    <xf numFmtId="9" fontId="32" fillId="12" borderId="9" applyAlignment="1" pivotButton="0" quotePrefix="0" xfId="0">
      <alignment horizontal="right" vertical="center"/>
    </xf>
    <xf numFmtId="170" fontId="32" fillId="12" borderId="6" applyAlignment="1" pivotButton="0" quotePrefix="0" xfId="0">
      <alignment horizontal="right" vertical="center"/>
    </xf>
    <xf numFmtId="175" fontId="32" fillId="7" borderId="6" applyAlignment="1" pivotButton="0" quotePrefix="0" xfId="0">
      <alignment horizontal="right" vertical="center"/>
    </xf>
    <xf numFmtId="175" fontId="32" fillId="7" borderId="9" applyAlignment="1" pivotButton="0" quotePrefix="0" xfId="0">
      <alignment horizontal="right" vertical="center"/>
    </xf>
    <xf numFmtId="170" fontId="30" fillId="5" borderId="6" applyAlignment="1" pivotButton="0" quotePrefix="0" xfId="0">
      <alignment horizontal="right" vertical="center"/>
    </xf>
    <xf numFmtId="0" fontId="34" fillId="20" borderId="12" applyAlignment="1" pivotButton="0" quotePrefix="0" xfId="0">
      <alignment horizontal="left" vertical="center" indent="2"/>
    </xf>
    <xf numFmtId="169" fontId="43" fillId="20" borderId="16" applyAlignment="1" pivotButton="0" quotePrefix="0" xfId="0">
      <alignment horizontal="right" vertical="center"/>
    </xf>
    <xf numFmtId="169" fontId="32" fillId="6" borderId="6" applyAlignment="1" pivotButton="0" quotePrefix="0" xfId="0">
      <alignment horizontal="right" vertical="center"/>
    </xf>
    <xf numFmtId="169" fontId="32" fillId="6" borderId="9" applyAlignment="1" pivotButton="0" quotePrefix="0" xfId="0">
      <alignment horizontal="right" vertical="center"/>
    </xf>
    <xf numFmtId="0" fontId="1" fillId="12" borderId="6" applyAlignment="1" pivotButton="0" quotePrefix="0" xfId="0">
      <alignment horizontal="left" vertical="center" indent="2"/>
    </xf>
    <xf numFmtId="169" fontId="32" fillId="12" borderId="6" applyAlignment="1" pivotButton="0" quotePrefix="0" xfId="0">
      <alignment horizontal="right" vertical="center"/>
    </xf>
    <xf numFmtId="0" fontId="1" fillId="0" borderId="6" applyAlignment="1" pivotButton="0" quotePrefix="0" xfId="0">
      <alignment horizontal="left" vertical="center" indent="2"/>
    </xf>
    <xf numFmtId="169" fontId="32" fillId="0" borderId="6" applyAlignment="1" pivotButton="0" quotePrefix="0" xfId="0">
      <alignment horizontal="right" vertical="center"/>
    </xf>
    <xf numFmtId="0" fontId="6" fillId="21" borderId="0" pivotButton="0" quotePrefix="0" xfId="0"/>
    <xf numFmtId="175" fontId="32" fillId="6" borderId="6" applyAlignment="1" pivotButton="0" quotePrefix="0" xfId="0">
      <alignment horizontal="right" vertical="center"/>
    </xf>
    <xf numFmtId="175" fontId="32" fillId="6" borderId="9" applyAlignment="1" pivotButton="0" quotePrefix="0" xfId="0">
      <alignment horizontal="right" vertical="center"/>
    </xf>
    <xf numFmtId="170" fontId="32" fillId="6" borderId="6" applyAlignment="1" pivotButton="0" quotePrefix="0" xfId="0">
      <alignment horizontal="right" vertical="center"/>
    </xf>
    <xf numFmtId="170" fontId="32" fillId="6" borderId="9" applyAlignment="1" pivotButton="0" quotePrefix="0" xfId="0">
      <alignment horizontal="right" vertical="center"/>
    </xf>
    <xf numFmtId="169" fontId="30" fillId="5" borderId="9" applyAlignment="1" pivotButton="0" quotePrefix="0" xfId="0">
      <alignment horizontal="right" vertical="center"/>
    </xf>
    <xf numFmtId="10" fontId="32" fillId="7" borderId="6" applyAlignment="1" pivotButton="0" quotePrefix="0" xfId="3">
      <alignment horizontal="right" vertical="center"/>
    </xf>
    <xf numFmtId="10" fontId="32" fillId="7" borderId="9" applyAlignment="1" pivotButton="0" quotePrefix="0" xfId="3">
      <alignment horizontal="right" vertical="center"/>
    </xf>
    <xf numFmtId="0" fontId="6" fillId="22" borderId="1" applyAlignment="1" pivotButton="0" quotePrefix="0" xfId="0">
      <alignment horizontal="center" vertical="center"/>
    </xf>
    <xf numFmtId="174" fontId="32" fillId="12" borderId="9" applyAlignment="1" pivotButton="0" quotePrefix="0" xfId="0">
      <alignment horizontal="right" vertical="center"/>
    </xf>
    <xf numFmtId="170" fontId="32" fillId="7" borderId="6" applyAlignment="1" pivotButton="0" quotePrefix="0" xfId="0">
      <alignment horizontal="right" vertical="center"/>
    </xf>
    <xf numFmtId="170" fontId="32" fillId="7" borderId="9" applyAlignment="1" pivotButton="0" quotePrefix="0" xfId="0">
      <alignment horizontal="right" vertical="center"/>
    </xf>
    <xf numFmtId="170" fontId="32" fillId="12" borderId="9" applyAlignment="1" pivotButton="0" quotePrefix="0" xfId="0">
      <alignment horizontal="right" vertical="center"/>
    </xf>
    <xf numFmtId="174" fontId="32" fillId="7" borderId="9" applyAlignment="1" pivotButton="0" quotePrefix="0" xfId="0">
      <alignment horizontal="right" vertical="center"/>
    </xf>
    <xf numFmtId="10" fontId="33" fillId="0" borderId="0" pivotButton="0" quotePrefix="0" xfId="0"/>
    <xf numFmtId="10" fontId="1" fillId="7" borderId="6" applyAlignment="1" pivotButton="0" quotePrefix="0" xfId="0">
      <alignment horizontal="left" vertical="center" indent="2"/>
    </xf>
    <xf numFmtId="10" fontId="32" fillId="7" borderId="6" applyAlignment="1" pivotButton="0" quotePrefix="0" xfId="0">
      <alignment horizontal="right" vertical="center"/>
    </xf>
    <xf numFmtId="10" fontId="32" fillId="7" borderId="9" applyAlignment="1" pivotButton="0" quotePrefix="0" xfId="0">
      <alignment horizontal="right" vertical="center"/>
    </xf>
    <xf numFmtId="174" fontId="32" fillId="12" borderId="6" applyAlignment="1" pivotButton="0" quotePrefix="0" xfId="1">
      <alignment horizontal="right" vertical="center"/>
    </xf>
    <xf numFmtId="174" fontId="32" fillId="12" borderId="9" applyAlignment="1" pivotButton="0" quotePrefix="0" xfId="1">
      <alignment horizontal="right" vertical="center"/>
    </xf>
    <xf numFmtId="175" fontId="32" fillId="12" borderId="6" applyAlignment="1" pivotButton="0" quotePrefix="0" xfId="1">
      <alignment horizontal="right" vertical="center"/>
    </xf>
    <xf numFmtId="175" fontId="32" fillId="12" borderId="9" applyAlignment="1" pivotButton="0" quotePrefix="0" xfId="1">
      <alignment horizontal="right" vertical="center"/>
    </xf>
    <xf numFmtId="175" fontId="32" fillId="7" borderId="6" applyAlignment="1" pivotButton="0" quotePrefix="0" xfId="1">
      <alignment horizontal="right" vertical="center"/>
    </xf>
    <xf numFmtId="175" fontId="32" fillId="7" borderId="9" applyAlignment="1" pivotButton="0" quotePrefix="0" xfId="1">
      <alignment horizontal="right" vertical="center"/>
    </xf>
    <xf numFmtId="10" fontId="32" fillId="12" borderId="6" applyAlignment="1" pivotButton="0" quotePrefix="0" xfId="3">
      <alignment horizontal="right" vertical="center"/>
    </xf>
    <xf numFmtId="10" fontId="32" fillId="12" borderId="9" applyAlignment="1" pivotButton="0" quotePrefix="0" xfId="3">
      <alignment horizontal="right" vertical="center"/>
    </xf>
    <xf numFmtId="169" fontId="30" fillId="5" borderId="12" applyAlignment="1" pivotButton="0" quotePrefix="0" xfId="0">
      <alignment horizontal="right" vertical="center"/>
    </xf>
    <xf numFmtId="169" fontId="30" fillId="5" borderId="16" applyAlignment="1" pivotButton="0" quotePrefix="0" xfId="0">
      <alignment horizontal="right" vertical="center"/>
    </xf>
    <xf numFmtId="171" fontId="33" fillId="0" borderId="0" pivotButton="0" quotePrefix="0" xfId="2"/>
    <xf numFmtId="174" fontId="32" fillId="7" borderId="6" applyAlignment="1" pivotButton="0" quotePrefix="0" xfId="0">
      <alignment horizontal="left" vertical="center" indent="2"/>
    </xf>
    <xf numFmtId="174" fontId="32" fillId="12" borderId="6" applyAlignment="1" pivotButton="0" quotePrefix="0" xfId="0">
      <alignment horizontal="left" vertical="center" indent="2"/>
    </xf>
    <xf numFmtId="174" fontId="30" fillId="5" borderId="6" applyAlignment="1" pivotButton="0" quotePrefix="0" xfId="0">
      <alignment horizontal="left" vertical="center" indent="2"/>
    </xf>
    <xf numFmtId="174" fontId="32" fillId="7" borderId="12" applyAlignment="1" pivotButton="0" quotePrefix="0" xfId="0">
      <alignment horizontal="left" vertical="center" indent="2"/>
    </xf>
    <xf numFmtId="0" fontId="11" fillId="2" borderId="0" applyAlignment="1" pivotButton="0" quotePrefix="0" xfId="0">
      <alignment horizontal="left" vertical="center"/>
    </xf>
    <xf numFmtId="0" fontId="11" fillId="2" borderId="0" applyAlignment="1" pivotButton="0" quotePrefix="0" xfId="0">
      <alignment horizontal="left" vertical="center" indent="2"/>
    </xf>
    <xf numFmtId="0" fontId="6" fillId="22" borderId="15" applyAlignment="1" pivotButton="0" quotePrefix="0" xfId="0">
      <alignment horizontal="center" vertical="center"/>
    </xf>
    <xf numFmtId="0" fontId="6" fillId="22" borderId="34" applyAlignment="1" pivotButton="0" quotePrefix="0" xfId="0">
      <alignment horizontal="center" vertical="center"/>
    </xf>
    <xf numFmtId="0" fontId="1" fillId="7" borderId="7" applyAlignment="1" pivotButton="0" quotePrefix="0" xfId="0">
      <alignment horizontal="left" vertical="center" indent="2"/>
    </xf>
    <xf numFmtId="0" fontId="1" fillId="13" borderId="7" applyAlignment="1" pivotButton="0" quotePrefix="0" xfId="0">
      <alignment horizontal="left" vertical="center" indent="2"/>
    </xf>
    <xf numFmtId="0" fontId="31" fillId="12" borderId="7" applyAlignment="1" pivotButton="0" quotePrefix="0" xfId="0">
      <alignment horizontal="left" vertical="center" indent="2"/>
    </xf>
    <xf numFmtId="0" fontId="31" fillId="0" borderId="7" applyAlignment="1" pivotButton="0" quotePrefix="0" xfId="0">
      <alignment horizontal="left" vertical="center" indent="2"/>
    </xf>
    <xf numFmtId="2" fontId="26" fillId="0" borderId="7" applyAlignment="1" pivotButton="0" quotePrefix="0" xfId="0">
      <alignment horizontal="right" vertical="center"/>
    </xf>
    <xf numFmtId="0" fontId="1" fillId="7" borderId="20" applyAlignment="1" pivotButton="0" quotePrefix="0" xfId="0">
      <alignment horizontal="left" vertical="center" indent="2"/>
    </xf>
    <xf numFmtId="0" fontId="31" fillId="5" borderId="20" applyAlignment="1" pivotButton="0" quotePrefix="0" xfId="0">
      <alignment horizontal="left" vertical="center" indent="2"/>
    </xf>
    <xf numFmtId="0" fontId="1" fillId="6" borderId="13" applyAlignment="1" pivotButton="0" quotePrefix="0" xfId="0">
      <alignment horizontal="left" vertical="center" indent="2"/>
    </xf>
    <xf numFmtId="169" fontId="25" fillId="6" borderId="13" applyAlignment="1" pivotButton="0" quotePrefix="0" xfId="0">
      <alignment horizontal="right" vertical="center"/>
    </xf>
    <xf numFmtId="0" fontId="1" fillId="0" borderId="7" applyAlignment="1" pivotButton="0" quotePrefix="0" xfId="0">
      <alignment horizontal="left" vertical="center" indent="2"/>
    </xf>
    <xf numFmtId="169" fontId="32" fillId="12" borderId="9" applyAlignment="1" pivotButton="0" quotePrefix="0" xfId="0">
      <alignment horizontal="right" vertical="center"/>
    </xf>
    <xf numFmtId="9" fontId="32" fillId="7" borderId="9" applyAlignment="1" pivotButton="0" quotePrefix="0" xfId="0">
      <alignment horizontal="right" vertical="center"/>
    </xf>
    <xf numFmtId="170" fontId="32" fillId="7" borderId="6" applyAlignment="1" pivotButton="0" quotePrefix="0" xfId="3">
      <alignment horizontal="right" vertical="center"/>
    </xf>
    <xf numFmtId="0" fontId="1" fillId="7" borderId="25" applyAlignment="1" pivotButton="0" quotePrefix="0" xfId="0">
      <alignment horizontal="left" vertical="center" indent="2"/>
    </xf>
    <xf numFmtId="0" fontId="1" fillId="12" borderId="25" applyAlignment="1" pivotButton="0" quotePrefix="0" xfId="0">
      <alignment horizontal="left" vertical="center" indent="2"/>
    </xf>
    <xf numFmtId="0" fontId="1" fillId="7" borderId="26" applyAlignment="1" pivotButton="0" quotePrefix="0" xfId="0">
      <alignment horizontal="left" vertical="center" indent="2"/>
    </xf>
    <xf numFmtId="0" fontId="1" fillId="12" borderId="23" applyAlignment="1" pivotButton="0" quotePrefix="0" xfId="0">
      <alignment horizontal="left" vertical="center" indent="2"/>
    </xf>
    <xf numFmtId="0" fontId="1" fillId="6" borderId="23" applyAlignment="1" pivotButton="0" quotePrefix="0" xfId="0">
      <alignment horizontal="left" vertical="center" indent="2"/>
    </xf>
    <xf numFmtId="0" fontId="1" fillId="6" borderId="25" applyAlignment="1" pivotButton="0" quotePrefix="0" xfId="0">
      <alignment horizontal="left" vertical="center" indent="2"/>
    </xf>
    <xf numFmtId="0" fontId="31" fillId="5" borderId="26" applyAlignment="1" pivotButton="0" quotePrefix="0" xfId="0">
      <alignment horizontal="left" vertical="center" indent="2"/>
    </xf>
    <xf numFmtId="170" fontId="25" fillId="12" borderId="24" applyAlignment="1" pivotButton="0" quotePrefix="0" xfId="0">
      <alignment horizontal="right" vertical="center"/>
    </xf>
    <xf numFmtId="169" fontId="26" fillId="6" borderId="6" applyAlignment="1" pivotButton="0" quotePrefix="0" xfId="0">
      <alignment horizontal="right" vertical="center"/>
    </xf>
    <xf numFmtId="0" fontId="1" fillId="12" borderId="20" applyAlignment="1" pivotButton="0" quotePrefix="0" xfId="0">
      <alignment horizontal="left" vertical="center" indent="2"/>
    </xf>
    <xf numFmtId="169" fontId="32" fillId="12" borderId="22" applyAlignment="1" pivotButton="0" quotePrefix="0" xfId="0">
      <alignment horizontal="right" vertical="center"/>
    </xf>
    <xf numFmtId="0" fontId="1" fillId="0" borderId="35" applyAlignment="1" pivotButton="0" quotePrefix="0" xfId="0">
      <alignment horizontal="left" vertical="center" indent="2"/>
    </xf>
    <xf numFmtId="170" fontId="25" fillId="0" borderId="12" applyAlignment="1" pivotButton="0" quotePrefix="0" xfId="0">
      <alignment horizontal="right" vertical="center"/>
    </xf>
    <xf numFmtId="170" fontId="25" fillId="0" borderId="36" applyAlignment="1" pivotButton="0" quotePrefix="0" xfId="0">
      <alignment horizontal="right" vertical="center"/>
    </xf>
    <xf numFmtId="0" fontId="31" fillId="15" borderId="26" applyAlignment="1" pivotButton="0" quotePrefix="0" xfId="0">
      <alignment horizontal="left" vertical="center" indent="2"/>
    </xf>
    <xf numFmtId="170" fontId="26" fillId="15" borderId="20" applyAlignment="1" pivotButton="0" quotePrefix="0" xfId="0">
      <alignment horizontal="right" vertical="center"/>
    </xf>
    <xf numFmtId="170" fontId="26" fillId="15" borderId="22" applyAlignment="1" pivotButton="0" quotePrefix="0" xfId="0">
      <alignment horizontal="right" vertical="center"/>
    </xf>
    <xf numFmtId="0" fontId="44" fillId="0" borderId="0" applyAlignment="1" pivotButton="0" quotePrefix="0" xfId="0">
      <alignment horizontal="left" vertical="center"/>
    </xf>
    <xf numFmtId="171" fontId="32" fillId="7" borderId="10" applyAlignment="1" pivotButton="0" quotePrefix="0" xfId="2">
      <alignment horizontal="right" vertical="center"/>
    </xf>
    <xf numFmtId="0" fontId="31" fillId="12" borderId="6" applyAlignment="1" pivotButton="0" quotePrefix="0" xfId="0">
      <alignment horizontal="left" vertical="center" indent="2"/>
    </xf>
    <xf numFmtId="171" fontId="30" fillId="12" borderId="10" applyAlignment="1" pivotButton="0" quotePrefix="0" xfId="2">
      <alignment horizontal="right" vertical="center"/>
    </xf>
    <xf numFmtId="0" fontId="1" fillId="7" borderId="13" applyAlignment="1" pivotButton="0" quotePrefix="0" xfId="0">
      <alignment horizontal="left" vertical="center" indent="2"/>
    </xf>
    <xf numFmtId="171" fontId="32" fillId="7" borderId="13" applyAlignment="1" pivotButton="0" quotePrefix="0" xfId="2">
      <alignment horizontal="right" vertical="center"/>
    </xf>
    <xf numFmtId="171" fontId="32" fillId="12" borderId="6" applyAlignment="1" pivotButton="0" quotePrefix="0" xfId="2">
      <alignment horizontal="right" vertical="center"/>
    </xf>
    <xf numFmtId="171" fontId="32" fillId="7" borderId="6" applyAlignment="1" pivotButton="0" quotePrefix="0" xfId="2">
      <alignment horizontal="right" vertical="center"/>
    </xf>
    <xf numFmtId="171" fontId="32" fillId="7" borderId="7" applyAlignment="1" pivotButton="0" quotePrefix="0" xfId="2">
      <alignment horizontal="right" vertical="center"/>
    </xf>
    <xf numFmtId="0" fontId="31" fillId="12" borderId="13" applyAlignment="1" pivotButton="0" quotePrefix="0" xfId="0">
      <alignment horizontal="left" vertical="center" indent="2"/>
    </xf>
    <xf numFmtId="171" fontId="30" fillId="12" borderId="13" applyAlignment="1" pivotButton="0" quotePrefix="0" xfId="2">
      <alignment horizontal="right" vertical="center"/>
    </xf>
    <xf numFmtId="171" fontId="32" fillId="0" borderId="7" applyAlignment="1" pivotButton="0" quotePrefix="0" xfId="0">
      <alignment horizontal="right" vertical="center"/>
    </xf>
    <xf numFmtId="0" fontId="31" fillId="0" borderId="12" applyAlignment="1" pivotButton="0" quotePrefix="0" xfId="0">
      <alignment horizontal="left" vertical="center" indent="2"/>
    </xf>
    <xf numFmtId="2" fontId="30" fillId="12" borderId="7" applyAlignment="1" pivotButton="0" quotePrefix="0" xfId="0">
      <alignment horizontal="right" vertical="center"/>
    </xf>
    <xf numFmtId="0" fontId="30" fillId="0" borderId="7" applyAlignment="1" pivotButton="0" quotePrefix="0" xfId="0">
      <alignment horizontal="right" vertical="center"/>
    </xf>
    <xf numFmtId="0" fontId="11" fillId="4" borderId="34" applyAlignment="1" pivotButton="0" quotePrefix="0" xfId="0">
      <alignment horizontal="left" vertical="center" indent="1"/>
    </xf>
    <xf numFmtId="0" fontId="4" fillId="16" borderId="8" applyAlignment="1" pivotButton="0" quotePrefix="0" xfId="0">
      <alignment horizontal="left" vertical="center" indent="2"/>
    </xf>
    <xf numFmtId="10" fontId="4" fillId="16" borderId="8" applyAlignment="1" pivotButton="0" quotePrefix="0" xfId="2">
      <alignment horizontal="right" vertical="center"/>
    </xf>
    <xf numFmtId="171" fontId="30" fillId="12" borderId="6" applyAlignment="1" pivotButton="0" quotePrefix="0" xfId="2">
      <alignment horizontal="right" vertical="center"/>
    </xf>
    <xf numFmtId="0" fontId="31" fillId="0" borderId="6" applyAlignment="1" pivotButton="0" quotePrefix="0" xfId="0">
      <alignment horizontal="left" vertical="center" indent="2"/>
    </xf>
    <xf numFmtId="171" fontId="30" fillId="0" borderId="6" applyAlignment="1" pivotButton="0" quotePrefix="0" xfId="2">
      <alignment horizontal="right" vertical="center"/>
    </xf>
    <xf numFmtId="0" fontId="1" fillId="15" borderId="12" applyAlignment="1" pivotButton="0" quotePrefix="0" xfId="0">
      <alignment horizontal="left" vertical="center" indent="2"/>
    </xf>
    <xf numFmtId="171" fontId="32" fillId="15" borderId="12" applyAlignment="1" pivotButton="0" quotePrefix="0" xfId="2">
      <alignment horizontal="right" vertical="center"/>
    </xf>
    <xf numFmtId="171" fontId="32" fillId="15" borderId="20" applyAlignment="1" pivotButton="0" quotePrefix="0" xfId="2">
      <alignment horizontal="right" vertical="center"/>
    </xf>
    <xf numFmtId="171" fontId="30" fillId="0" borderId="12" applyAlignment="1" pivotButton="0" quotePrefix="0" xfId="2">
      <alignment horizontal="right" vertical="center"/>
    </xf>
    <xf numFmtId="171" fontId="30" fillId="0" borderId="20" applyAlignment="1" pivotButton="0" quotePrefix="0" xfId="2">
      <alignment horizontal="right" vertical="center"/>
    </xf>
    <xf numFmtId="171" fontId="32" fillId="7" borderId="10" applyAlignment="1" pivotButton="0" quotePrefix="0" xfId="0">
      <alignment horizontal="right" vertical="center"/>
    </xf>
    <xf numFmtId="171" fontId="32" fillId="12" borderId="10" applyAlignment="1" pivotButton="0" quotePrefix="0" xfId="0">
      <alignment horizontal="right" vertical="center"/>
    </xf>
    <xf numFmtId="0" fontId="30" fillId="12" borderId="10" applyAlignment="1" pivotButton="0" quotePrefix="0" xfId="0">
      <alignment horizontal="right" vertical="center"/>
    </xf>
    <xf numFmtId="2" fontId="30" fillId="0" borderId="10" applyAlignment="1" pivotButton="0" quotePrefix="0" xfId="0">
      <alignment horizontal="right" vertical="center"/>
    </xf>
    <xf numFmtId="0" fontId="11" fillId="16" borderId="7" applyAlignment="1" pivotButton="0" quotePrefix="0" xfId="0">
      <alignment horizontal="left" vertical="center" indent="2"/>
    </xf>
    <xf numFmtId="10" fontId="11" fillId="16" borderId="7" applyAlignment="1" pivotButton="0" quotePrefix="0" xfId="2">
      <alignment horizontal="right" vertical="center"/>
    </xf>
    <xf numFmtId="0" fontId="1" fillId="12" borderId="13" applyAlignment="1" pivotButton="0" quotePrefix="0" xfId="0">
      <alignment horizontal="left" vertical="center" indent="2"/>
    </xf>
    <xf numFmtId="171" fontId="32" fillId="12" borderId="29" applyAlignment="1" pivotButton="0" quotePrefix="0" xfId="2">
      <alignment horizontal="right" vertical="center"/>
    </xf>
    <xf numFmtId="0" fontId="11" fillId="4" borderId="37" applyAlignment="1" pivotButton="0" quotePrefix="0" xfId="0">
      <alignment horizontal="left" vertical="center" indent="1"/>
    </xf>
    <xf numFmtId="0" fontId="1" fillId="12" borderId="7" applyAlignment="1" pivotButton="0" quotePrefix="0" xfId="0">
      <alignment horizontal="left" vertical="center" indent="2"/>
    </xf>
    <xf numFmtId="170" fontId="15" fillId="6" borderId="7" applyAlignment="1" pivotButton="0" quotePrefix="0" xfId="0">
      <alignment horizontal="right" vertical="center"/>
    </xf>
    <xf numFmtId="0" fontId="45" fillId="21" borderId="0" pivotButton="0" quotePrefix="0" xfId="0"/>
    <xf numFmtId="0" fontId="1" fillId="6" borderId="8" applyAlignment="1" pivotButton="0" quotePrefix="0" xfId="0">
      <alignment horizontal="left" vertical="center" indent="2"/>
    </xf>
    <xf numFmtId="10" fontId="15" fillId="12" borderId="7" applyAlignment="1" pivotButton="0" quotePrefix="0" xfId="0">
      <alignment horizontal="right" vertical="center"/>
    </xf>
    <xf numFmtId="10" fontId="15" fillId="0" borderId="7" applyAlignment="1" pivotButton="0" quotePrefix="0" xfId="0">
      <alignment horizontal="right" vertical="center"/>
    </xf>
    <xf numFmtId="170" fontId="15" fillId="0" borderId="7" applyAlignment="1" pivotButton="0" quotePrefix="0" xfId="0">
      <alignment horizontal="right" vertical="center"/>
    </xf>
    <xf numFmtId="10" fontId="1" fillId="6" borderId="18" applyAlignment="1" pivotButton="0" quotePrefix="0" xfId="0">
      <alignment horizontal="right" vertical="center"/>
    </xf>
    <xf numFmtId="0" fontId="5" fillId="6" borderId="7" applyAlignment="1" pivotButton="0" quotePrefix="0" xfId="0">
      <alignment horizontal="left" vertical="center" indent="1"/>
    </xf>
    <xf numFmtId="170" fontId="1" fillId="6" borderId="8" applyAlignment="1" pivotButton="0" quotePrefix="0" xfId="0">
      <alignment horizontal="right" vertical="center"/>
    </xf>
    <xf numFmtId="0" fontId="5" fillId="6" borderId="10" applyAlignment="1" pivotButton="0" quotePrefix="0" xfId="0">
      <alignment horizontal="left" vertical="center" indent="1"/>
    </xf>
    <xf numFmtId="0" fontId="31" fillId="0" borderId="25" applyAlignment="1" pivotButton="0" quotePrefix="0" xfId="0">
      <alignment horizontal="left" vertical="center" indent="2"/>
    </xf>
    <xf numFmtId="170" fontId="31" fillId="0" borderId="7" applyAlignment="1" pivotButton="0" quotePrefix="0" xfId="0">
      <alignment horizontal="right" vertical="center"/>
    </xf>
    <xf numFmtId="0" fontId="5" fillId="0" borderId="29" applyAlignment="1" pivotButton="0" quotePrefix="0" xfId="0">
      <alignment horizontal="left" vertical="center" indent="1"/>
    </xf>
    <xf numFmtId="0" fontId="1" fillId="0" borderId="26" applyAlignment="1" pivotButton="0" quotePrefix="0" xfId="0">
      <alignment horizontal="left" vertical="center" indent="2"/>
    </xf>
    <xf numFmtId="10" fontId="1" fillId="0" borderId="20" applyAlignment="1" pivotButton="0" quotePrefix="0" xfId="3">
      <alignment horizontal="right" vertical="center"/>
    </xf>
    <xf numFmtId="0" fontId="5" fillId="0" borderId="22" applyAlignment="1" pivotButton="0" quotePrefix="0" xfId="0">
      <alignment horizontal="left" vertical="center" indent="1"/>
    </xf>
    <xf numFmtId="0" fontId="5" fillId="6" borderId="24" applyAlignment="1" pivotButton="0" quotePrefix="0" xfId="0">
      <alignment horizontal="left" vertical="center" indent="1"/>
    </xf>
    <xf numFmtId="0" fontId="1" fillId="0" borderId="25" applyAlignment="1" pivotButton="0" quotePrefix="0" xfId="0">
      <alignment horizontal="left" vertical="center" indent="2"/>
    </xf>
    <xf numFmtId="170" fontId="1" fillId="0" borderId="8" applyAlignment="1" pivotButton="0" quotePrefix="0" xfId="0">
      <alignment horizontal="right" vertical="center"/>
    </xf>
    <xf numFmtId="0" fontId="5" fillId="0" borderId="10" applyAlignment="1" pivotButton="0" quotePrefix="0" xfId="0">
      <alignment horizontal="left" vertical="center" indent="1"/>
    </xf>
    <xf numFmtId="0" fontId="1" fillId="15" borderId="7" applyAlignment="1" pivotButton="0" quotePrefix="0" xfId="0">
      <alignment horizontal="right" vertical="center"/>
    </xf>
    <xf numFmtId="0" fontId="1" fillId="0" borderId="7" applyAlignment="1" pivotButton="0" quotePrefix="0" xfId="0">
      <alignment horizontal="right" vertical="center"/>
    </xf>
    <xf numFmtId="0" fontId="31" fillId="19" borderId="7" applyAlignment="1" pivotButton="0" quotePrefix="0" xfId="0">
      <alignment horizontal="right" vertical="center"/>
    </xf>
    <xf numFmtId="0" fontId="1" fillId="0" borderId="0" applyAlignment="1" pivotButton="0" quotePrefix="0" xfId="0">
      <alignment horizontal="right" vertical="center"/>
    </xf>
    <xf numFmtId="171" fontId="1" fillId="0" borderId="0" applyAlignment="1" pivotButton="0" quotePrefix="0" xfId="2">
      <alignment horizontal="right" vertical="center"/>
    </xf>
    <xf numFmtId="10" fontId="32" fillId="0" borderId="0" applyAlignment="1" pivotButton="0" quotePrefix="0" xfId="3">
      <alignment horizontal="right" vertical="center"/>
    </xf>
    <xf numFmtId="2" fontId="32" fillId="0" borderId="0" applyAlignment="1" pivotButton="0" quotePrefix="0" xfId="0">
      <alignment horizontal="right" vertical="center"/>
    </xf>
    <xf numFmtId="10" fontId="32" fillId="0" borderId="0" applyAlignment="1" pivotButton="0" quotePrefix="0" xfId="0">
      <alignment horizontal="right" vertical="center"/>
    </xf>
    <xf numFmtId="0" fontId="6" fillId="22" borderId="34" applyAlignment="1" pivotButton="0" quotePrefix="0" xfId="0">
      <alignment horizontal="center" vertical="center" wrapText="1"/>
    </xf>
    <xf numFmtId="0" fontId="1" fillId="7" borderId="17" applyAlignment="1" pivotButton="0" quotePrefix="0" xfId="0">
      <alignment horizontal="left" vertical="center" indent="2"/>
    </xf>
    <xf numFmtId="10" fontId="32" fillId="7" borderId="24" applyAlignment="1" pivotButton="0" quotePrefix="0" xfId="3">
      <alignment horizontal="right" vertical="center"/>
    </xf>
    <xf numFmtId="2" fontId="32" fillId="7" borderId="10" applyAlignment="1" pivotButton="0" quotePrefix="0" xfId="0">
      <alignment horizontal="right" vertical="center"/>
    </xf>
    <xf numFmtId="0" fontId="32" fillId="7" borderId="10" applyAlignment="1" pivotButton="0" quotePrefix="0" xfId="0">
      <alignment horizontal="right" vertical="center"/>
    </xf>
    <xf numFmtId="10" fontId="32" fillId="12" borderId="10" applyAlignment="1" pivotButton="0" quotePrefix="0" xfId="3">
      <alignment horizontal="right" vertical="center"/>
    </xf>
    <xf numFmtId="2" fontId="32" fillId="12" borderId="10" applyAlignment="1" pivotButton="0" quotePrefix="0" xfId="0">
      <alignment horizontal="right" vertical="center"/>
    </xf>
    <xf numFmtId="176" fontId="32" fillId="15" borderId="7" applyAlignment="1" pivotButton="0" quotePrefix="0" xfId="2">
      <alignment horizontal="right" vertical="center"/>
    </xf>
    <xf numFmtId="176" fontId="32" fillId="0" borderId="7" applyAlignment="1" pivotButton="0" quotePrefix="0" xfId="2">
      <alignment horizontal="right" vertical="center"/>
    </xf>
    <xf numFmtId="176" fontId="30" fillId="19" borderId="7" applyAlignment="1" pivotButton="0" quotePrefix="0" xfId="2">
      <alignment horizontal="right" vertical="center"/>
    </xf>
    <xf numFmtId="176" fontId="32" fillId="12" borderId="10" applyAlignment="1" pivotButton="0" quotePrefix="0" xfId="2">
      <alignment horizontal="right" vertical="center"/>
    </xf>
    <xf numFmtId="176" fontId="32" fillId="7" borderId="10" applyAlignment="1" pivotButton="0" quotePrefix="0" xfId="2">
      <alignment horizontal="right" vertical="center"/>
    </xf>
    <xf numFmtId="176" fontId="32" fillId="12" borderId="22" applyAlignment="1" pivotButton="0" quotePrefix="0" xfId="2">
      <alignment horizontal="right" vertical="center"/>
    </xf>
    <xf numFmtId="0" fontId="9" fillId="15" borderId="7" applyAlignment="1" pivotButton="0" quotePrefix="0" xfId="0">
      <alignment horizontal="right" vertical="center"/>
    </xf>
    <xf numFmtId="0" fontId="9" fillId="0" borderId="7" applyAlignment="1" pivotButton="0" quotePrefix="0" xfId="0">
      <alignment horizontal="right" vertical="center"/>
    </xf>
    <xf numFmtId="0" fontId="9" fillId="6" borderId="6" applyAlignment="1" pivotButton="0" quotePrefix="0" xfId="0">
      <alignment horizontal="right" vertical="center"/>
    </xf>
    <xf numFmtId="0" fontId="9" fillId="0" borderId="6" applyAlignment="1" pivotButton="0" quotePrefix="0" xfId="0">
      <alignment horizontal="right" vertical="center"/>
    </xf>
    <xf numFmtId="0" fontId="15" fillId="5" borderId="6" applyAlignment="1" pivotButton="0" quotePrefix="0" xfId="0">
      <alignment horizontal="right" vertical="center"/>
    </xf>
    <xf numFmtId="9" fontId="32" fillId="7" borderId="6" applyAlignment="1" pivotButton="0" quotePrefix="0" xfId="0">
      <alignment horizontal="right" vertical="center"/>
    </xf>
    <xf numFmtId="0" fontId="11" fillId="4" borderId="34" pivotButton="0" quotePrefix="0" xfId="0"/>
    <xf numFmtId="0" fontId="6" fillId="2" borderId="39" applyAlignment="1" pivotButton="0" quotePrefix="0" xfId="0">
      <alignment horizontal="center" vertical="center" wrapText="1"/>
    </xf>
    <xf numFmtId="169" fontId="32" fillId="7" borderId="12" applyAlignment="1" pivotButton="0" quotePrefix="0" xfId="0">
      <alignment horizontal="right" vertical="center"/>
    </xf>
    <xf numFmtId="10" fontId="25" fillId="18" borderId="40" applyAlignment="1" pivotButton="0" quotePrefix="0" xfId="3">
      <alignment horizontal="right" vertical="center"/>
    </xf>
    <xf numFmtId="10" fontId="25" fillId="5" borderId="40" applyAlignment="1" pivotButton="0" quotePrefix="0" xfId="3">
      <alignment horizontal="right" vertical="center"/>
    </xf>
    <xf numFmtId="10" fontId="25" fillId="7" borderId="41" applyAlignment="1" pivotButton="0" quotePrefix="0" xfId="3">
      <alignment horizontal="right" vertical="center"/>
    </xf>
    <xf numFmtId="10" fontId="25" fillId="18" borderId="41" applyAlignment="1" pivotButton="0" quotePrefix="0" xfId="3">
      <alignment horizontal="right" vertical="center"/>
    </xf>
    <xf numFmtId="10" fontId="25" fillId="7" borderId="42" applyAlignment="1" pivotButton="0" quotePrefix="0" xfId="3">
      <alignment horizontal="right" vertical="center"/>
    </xf>
    <xf numFmtId="169" fontId="30" fillId="18" borderId="12" applyAlignment="1" pivotButton="0" quotePrefix="0" xfId="0">
      <alignment horizontal="right" vertical="center"/>
    </xf>
    <xf numFmtId="176" fontId="32" fillId="7" borderId="6" applyAlignment="1" pivotButton="0" quotePrefix="0" xfId="2">
      <alignment horizontal="right" vertical="center"/>
    </xf>
    <xf numFmtId="176" fontId="32" fillId="12" borderId="6" applyAlignment="1" pivotButton="0" quotePrefix="0" xfId="2">
      <alignment horizontal="right" vertical="center"/>
    </xf>
    <xf numFmtId="176" fontId="32" fillId="0" borderId="6" applyAlignment="1" pivotButton="0" quotePrefix="0" xfId="2">
      <alignment horizontal="right" vertical="center"/>
    </xf>
    <xf numFmtId="10" fontId="32" fillId="0" borderId="6" applyAlignment="1" pivotButton="0" quotePrefix="0" xfId="0">
      <alignment horizontal="right" vertical="center"/>
    </xf>
    <xf numFmtId="2" fontId="32" fillId="0" borderId="6" applyAlignment="1" pivotButton="0" quotePrefix="0" xfId="0">
      <alignment horizontal="right" vertical="center"/>
    </xf>
    <xf numFmtId="0" fontId="32" fillId="0" borderId="6" applyAlignment="1" pivotButton="0" quotePrefix="0" xfId="0">
      <alignment horizontal="right" vertical="center"/>
    </xf>
    <xf numFmtId="176" fontId="32" fillId="0" borderId="6" applyAlignment="1" pivotButton="0" quotePrefix="0" xfId="0">
      <alignment horizontal="right" vertical="center"/>
    </xf>
    <xf numFmtId="0" fontId="1" fillId="15" borderId="6" applyAlignment="1" pivotButton="0" quotePrefix="0" xfId="0">
      <alignment horizontal="left" vertical="center" indent="2"/>
    </xf>
    <xf numFmtId="176" fontId="32" fillId="15" borderId="6" applyAlignment="1" pivotButton="0" quotePrefix="0" xfId="2">
      <alignment horizontal="right" vertical="center"/>
    </xf>
    <xf numFmtId="10" fontId="32" fillId="15" borderId="6" applyAlignment="1" pivotButton="0" quotePrefix="0" xfId="0">
      <alignment horizontal="right" vertical="center"/>
    </xf>
    <xf numFmtId="2" fontId="32" fillId="15" borderId="6" applyAlignment="1" pivotButton="0" quotePrefix="0" xfId="0">
      <alignment horizontal="right" vertical="center"/>
    </xf>
    <xf numFmtId="176" fontId="32" fillId="15" borderId="6" applyAlignment="1" pivotButton="0" quotePrefix="0" xfId="0">
      <alignment horizontal="right" vertical="center"/>
    </xf>
    <xf numFmtId="0" fontId="6" fillId="2" borderId="38" applyAlignment="1" pivotButton="0" quotePrefix="0" xfId="0">
      <alignment horizontal="center" vertical="center" wrapText="1"/>
    </xf>
    <xf numFmtId="10" fontId="25" fillId="0" borderId="31" applyAlignment="1" pivotButton="0" quotePrefix="0" xfId="3">
      <alignment horizontal="right" vertical="center"/>
    </xf>
    <xf numFmtId="10" fontId="25" fillId="0" borderId="16" applyAlignment="1" pivotButton="0" quotePrefix="0" xfId="0">
      <alignment horizontal="right" vertical="center"/>
    </xf>
    <xf numFmtId="10" fontId="25" fillId="0" borderId="45" applyAlignment="1" pivotButton="0" quotePrefix="0" xfId="0">
      <alignment horizontal="right" vertical="center"/>
    </xf>
    <xf numFmtId="10" fontId="25" fillId="0" borderId="9" applyAlignment="1" pivotButton="0" quotePrefix="0" xfId="0">
      <alignment horizontal="right" vertical="center"/>
    </xf>
    <xf numFmtId="10" fontId="26" fillId="19" borderId="9" applyAlignment="1" pivotButton="0" quotePrefix="0" xfId="0">
      <alignment horizontal="right" vertical="center"/>
    </xf>
    <xf numFmtId="10" fontId="25" fillId="0" borderId="30" applyAlignment="1" pivotButton="0" quotePrefix="0" xfId="3">
      <alignment horizontal="right" vertical="center"/>
    </xf>
    <xf numFmtId="10" fontId="25" fillId="0" borderId="32" applyAlignment="1" pivotButton="0" quotePrefix="0" xfId="3">
      <alignment horizontal="right" vertical="center"/>
    </xf>
    <xf numFmtId="0" fontId="26" fillId="19" borderId="9" applyAlignment="1" pivotButton="0" quotePrefix="0" xfId="0">
      <alignment horizontal="right" vertical="center"/>
    </xf>
    <xf numFmtId="176" fontId="25" fillId="0" borderId="9" applyAlignment="1" pivotButton="0" quotePrefix="0" xfId="2">
      <alignment horizontal="right" vertical="center"/>
    </xf>
    <xf numFmtId="176" fontId="26" fillId="19" borderId="9" applyAlignment="1" pivotButton="0" quotePrefix="0" xfId="2">
      <alignment horizontal="right" vertical="center"/>
    </xf>
    <xf numFmtId="10" fontId="25" fillId="5" borderId="32" applyAlignment="1" pivotButton="0" quotePrefix="0" xfId="3">
      <alignment horizontal="right" vertical="center"/>
    </xf>
    <xf numFmtId="10" fontId="25" fillId="7" borderId="32" applyAlignment="1" pivotButton="0" quotePrefix="0" xfId="3">
      <alignment horizontal="right" vertical="center"/>
    </xf>
    <xf numFmtId="170" fontId="32" fillId="7" borderId="16" applyAlignment="1" pivotButton="0" quotePrefix="0" xfId="0">
      <alignment horizontal="right" vertical="center"/>
    </xf>
    <xf numFmtId="170" fontId="30" fillId="18" borderId="16" applyAlignment="1" pivotButton="0" quotePrefix="0" xfId="0">
      <alignment horizontal="right" vertical="center"/>
    </xf>
    <xf numFmtId="169" fontId="32" fillId="7" borderId="47" applyAlignment="1" pivotButton="0" quotePrefix="0" xfId="0">
      <alignment horizontal="right" vertical="center"/>
    </xf>
    <xf numFmtId="10" fontId="25" fillId="18" borderId="32" applyAlignment="1" pivotButton="0" quotePrefix="0" xfId="3">
      <alignment horizontal="right" vertical="center"/>
    </xf>
    <xf numFmtId="10" fontId="25" fillId="7" borderId="50" applyAlignment="1" pivotButton="0" quotePrefix="0" xfId="3">
      <alignment horizontal="right" vertical="center"/>
    </xf>
    <xf numFmtId="10" fontId="25" fillId="7" borderId="16" applyAlignment="1" pivotButton="0" quotePrefix="0" xfId="0">
      <alignment horizontal="right" vertical="center"/>
    </xf>
    <xf numFmtId="10" fontId="25" fillId="5" borderId="30" applyAlignment="1" pivotButton="0" quotePrefix="0" xfId="3">
      <alignment horizontal="right" vertical="center"/>
    </xf>
    <xf numFmtId="10" fontId="25" fillId="5" borderId="31" applyAlignment="1" pivotButton="0" quotePrefix="0" xfId="3">
      <alignment horizontal="right" vertical="center"/>
    </xf>
    <xf numFmtId="10" fontId="25" fillId="5" borderId="51" applyAlignment="1" pivotButton="0" quotePrefix="0" xfId="3">
      <alignment horizontal="right" vertical="center"/>
    </xf>
    <xf numFmtId="170" fontId="32" fillId="7" borderId="45" applyAlignment="1" pivotButton="0" quotePrefix="0" xfId="0">
      <alignment horizontal="right" vertical="center"/>
    </xf>
    <xf numFmtId="9" fontId="25" fillId="7" borderId="47" applyAlignment="1" pivotButton="0" quotePrefix="0" xfId="0">
      <alignment horizontal="right" vertical="center"/>
    </xf>
    <xf numFmtId="9" fontId="25" fillId="7" borderId="12" applyAlignment="1" pivotButton="0" quotePrefix="0" xfId="0">
      <alignment horizontal="right" vertical="center"/>
    </xf>
    <xf numFmtId="9" fontId="26" fillId="18" borderId="12" applyAlignment="1" pivotButton="0" quotePrefix="0" xfId="0">
      <alignment horizontal="right" vertical="center"/>
    </xf>
    <xf numFmtId="176" fontId="25" fillId="0" borderId="45" applyAlignment="1" pivotButton="0" quotePrefix="0" xfId="2">
      <alignment horizontal="right" vertical="center"/>
    </xf>
    <xf numFmtId="0" fontId="25" fillId="0" borderId="45" applyAlignment="1" pivotButton="0" quotePrefix="0" xfId="0">
      <alignment horizontal="right" vertical="center"/>
    </xf>
    <xf numFmtId="169" fontId="30" fillId="18" borderId="47" applyAlignment="1" pivotButton="0" quotePrefix="0" xfId="0">
      <alignment horizontal="right" vertical="center"/>
    </xf>
    <xf numFmtId="165" fontId="10" fillId="18" borderId="3" applyAlignment="1" pivotButton="0" quotePrefix="0" xfId="0">
      <alignment horizontal="right" vertical="center"/>
    </xf>
    <xf numFmtId="165" fontId="10" fillId="23" borderId="3" applyAlignment="1" pivotButton="0" quotePrefix="0" xfId="0">
      <alignment horizontal="right" vertical="center"/>
    </xf>
    <xf numFmtId="165" fontId="10" fillId="24" borderId="3" applyAlignment="1" pivotButton="0" quotePrefix="0" xfId="0">
      <alignment horizontal="right" vertical="center"/>
    </xf>
    <xf numFmtId="164" fontId="0" fillId="0" borderId="0" pivotButton="0" quotePrefix="0" xfId="0"/>
    <xf numFmtId="0" fontId="39" fillId="17" borderId="7" applyAlignment="1" pivotButton="0" quotePrefix="0" xfId="0">
      <alignment horizontal="left" vertical="center" indent="2"/>
    </xf>
    <xf numFmtId="10" fontId="39" fillId="17" borderId="7" applyAlignment="1" pivotButton="0" quotePrefix="0" xfId="0">
      <alignment horizontal="right" vertical="center"/>
    </xf>
    <xf numFmtId="165" fontId="15" fillId="5" borderId="3" applyAlignment="1" pivotButton="0" quotePrefix="0" xfId="0">
      <alignment horizontal="right" vertical="center"/>
    </xf>
    <xf numFmtId="9" fontId="15" fillId="7" borderId="3" applyAlignment="1" pivotButton="0" quotePrefix="0" xfId="0">
      <alignment horizontal="right" vertical="center"/>
    </xf>
    <xf numFmtId="165" fontId="15" fillId="7" borderId="3" applyAlignment="1" pivotButton="0" quotePrefix="0" xfId="0">
      <alignment horizontal="right" vertical="center"/>
    </xf>
    <xf numFmtId="165" fontId="15" fillId="11" borderId="3" applyAlignment="1" pivotButton="0" quotePrefix="0" xfId="0">
      <alignment horizontal="right" vertical="center"/>
    </xf>
    <xf numFmtId="165" fontId="15" fillId="6" borderId="3" applyAlignment="1" pivotButton="0" quotePrefix="0" xfId="0">
      <alignment horizontal="right" vertical="center"/>
    </xf>
    <xf numFmtId="165" fontId="24" fillId="6" borderId="6" applyAlignment="1" pivotButton="0" quotePrefix="0" xfId="0">
      <alignment horizontal="right" vertical="center"/>
    </xf>
    <xf numFmtId="165" fontId="24" fillId="7" borderId="6" applyAlignment="1" pivotButton="0" quotePrefix="0" xfId="0">
      <alignment horizontal="right" vertical="center"/>
    </xf>
    <xf numFmtId="165" fontId="39" fillId="14" borderId="6" applyAlignment="1" pivotButton="0" quotePrefix="0" xfId="0">
      <alignment horizontal="right" vertical="center"/>
    </xf>
    <xf numFmtId="165" fontId="24" fillId="6" borderId="6" applyAlignment="1" pivotButton="0" quotePrefix="0" xfId="3">
      <alignment horizontal="right" vertical="center"/>
    </xf>
    <xf numFmtId="165" fontId="24" fillId="7" borderId="6" applyAlignment="1" pivotButton="0" quotePrefix="0" xfId="3">
      <alignment horizontal="right" vertical="center"/>
    </xf>
    <xf numFmtId="0" fontId="5" fillId="0" borderId="3" applyAlignment="1" pivotButton="0" quotePrefix="0" xfId="0">
      <alignment horizontal="left" vertical="center" indent="1"/>
    </xf>
    <xf numFmtId="0" fontId="9" fillId="0" borderId="3" applyAlignment="1" pivotButton="0" quotePrefix="0" xfId="0">
      <alignment horizontal="left" vertical="center"/>
    </xf>
    <xf numFmtId="0" fontId="9" fillId="15" borderId="3" applyAlignment="1" pivotButton="0" quotePrefix="0" xfId="0">
      <alignment horizontal="left" vertical="center"/>
    </xf>
    <xf numFmtId="0" fontId="5" fillId="0" borderId="6" applyAlignment="1" pivotButton="0" quotePrefix="0" xfId="0">
      <alignment horizontal="left" vertical="center" indent="1"/>
    </xf>
    <xf numFmtId="0" fontId="5" fillId="15" borderId="6" applyAlignment="1" pivotButton="0" quotePrefix="0" xfId="0">
      <alignment horizontal="left" vertical="center" indent="1"/>
    </xf>
    <xf numFmtId="0" fontId="36" fillId="7" borderId="12" applyAlignment="1" pivotButton="0" quotePrefix="0" xfId="0">
      <alignment horizontal="center" vertical="center"/>
    </xf>
    <xf numFmtId="0" fontId="36" fillId="7" borderId="27" applyAlignment="1" pivotButton="0" quotePrefix="0" xfId="0">
      <alignment horizontal="center" vertical="center"/>
    </xf>
    <xf numFmtId="0" fontId="36" fillId="7" borderId="13" applyAlignment="1" pivotButton="0" quotePrefix="0" xfId="0">
      <alignment horizontal="center" vertical="center"/>
    </xf>
    <xf numFmtId="0" fontId="36" fillId="7" borderId="33" applyAlignment="1" pivotButton="0" quotePrefix="0" xfId="0">
      <alignment horizontal="center" vertical="center"/>
    </xf>
    <xf numFmtId="0" fontId="36" fillId="0" borderId="12" applyAlignment="1" pivotButton="0" quotePrefix="0" xfId="0">
      <alignment horizontal="center" vertical="center"/>
    </xf>
    <xf numFmtId="0" fontId="36" fillId="0" borderId="27" applyAlignment="1" pivotButton="0" quotePrefix="0" xfId="0">
      <alignment horizontal="center" vertical="center"/>
    </xf>
    <xf numFmtId="0" fontId="36" fillId="0" borderId="13" applyAlignment="1" pivotButton="0" quotePrefix="0" xfId="0">
      <alignment horizontal="center" vertical="center"/>
    </xf>
    <xf numFmtId="0" fontId="22" fillId="2" borderId="1" applyAlignment="1" pivotButton="0" quotePrefix="0" xfId="0">
      <alignment horizontal="center" vertical="center"/>
    </xf>
    <xf numFmtId="0" fontId="36" fillId="0" borderId="33" applyAlignment="1" pivotButton="0" quotePrefix="0" xfId="0">
      <alignment horizontal="center" vertical="center"/>
    </xf>
    <xf numFmtId="0" fontId="22" fillId="2" borderId="1" applyAlignment="1" pivotButton="0" quotePrefix="0" xfId="0">
      <alignment horizontal="left" vertical="center" indent="1"/>
    </xf>
    <xf numFmtId="0" fontId="22" fillId="2" borderId="0" applyAlignment="1" pivotButton="0" quotePrefix="0" xfId="0">
      <alignment horizontal="left" vertical="center" indent="1"/>
    </xf>
    <xf numFmtId="0" fontId="6" fillId="22" borderId="44" applyAlignment="1" pivotButton="0" quotePrefix="0" xfId="0">
      <alignment horizontal="center" vertical="center" wrapText="1"/>
    </xf>
    <xf numFmtId="0" fontId="6" fillId="22" borderId="38" applyAlignment="1" pivotButton="0" quotePrefix="0" xfId="0">
      <alignment horizontal="center" vertical="center" wrapText="1"/>
    </xf>
    <xf numFmtId="0" fontId="6" fillId="22" borderId="43" applyAlignment="1" pivotButton="0" quotePrefix="0" xfId="0">
      <alignment horizontal="center" vertical="center" wrapText="1"/>
    </xf>
    <xf numFmtId="0" fontId="6" fillId="22" borderId="48" applyAlignment="1" pivotButton="0" quotePrefix="0" xfId="0">
      <alignment horizontal="center" vertical="center" wrapText="1"/>
    </xf>
    <xf numFmtId="0" fontId="6" fillId="22" borderId="34" applyAlignment="1" pivotButton="0" quotePrefix="0" xfId="0">
      <alignment horizontal="center" vertical="center" wrapText="1"/>
    </xf>
    <xf numFmtId="0" fontId="6" fillId="22" borderId="46" applyAlignment="1" pivotButton="0" quotePrefix="0" xfId="0">
      <alignment horizontal="center" vertical="center" wrapText="1"/>
    </xf>
    <xf numFmtId="0" fontId="6" fillId="22" borderId="0" applyAlignment="1" pivotButton="0" quotePrefix="0" xfId="0">
      <alignment horizontal="center" vertical="center" wrapText="1"/>
    </xf>
    <xf numFmtId="0" fontId="6" fillId="22" borderId="49" applyAlignment="1" pivotButton="0" quotePrefix="0" xfId="0">
      <alignment horizontal="center" vertical="center" wrapText="1"/>
    </xf>
    <xf numFmtId="0" fontId="6" fillId="22" borderId="15" applyAlignment="1" pivotButton="0" quotePrefix="0" xfId="0">
      <alignment horizontal="center" vertical="center" wrapText="1"/>
    </xf>
    <xf numFmtId="0" fontId="6" fillId="22" borderId="39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vertical="center" indent="1"/>
    </xf>
    <xf numFmtId="0" fontId="19" fillId="8" borderId="5" applyAlignment="1" pivotButton="0" quotePrefix="0" xfId="0">
      <alignment horizontal="left" vertical="center" wrapText="1" indent="1"/>
    </xf>
    <xf numFmtId="0" fontId="0" fillId="3" borderId="0" pivotButton="0" quotePrefix="0" xfId="0"/>
    <xf numFmtId="0" fontId="20" fillId="2" borderId="0" applyAlignment="1" pivotButton="0" quotePrefix="0" xfId="0">
      <alignment horizontal="left" vertical="center" wrapText="1" indent="2"/>
    </xf>
    <xf numFmtId="0" fontId="11" fillId="10" borderId="0" applyAlignment="1" pivotButton="0" quotePrefix="0" xfId="0">
      <alignment horizontal="left" vertical="center" indent="1"/>
    </xf>
    <xf numFmtId="0" fontId="11" fillId="4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2" borderId="0" applyAlignment="1" pivotButton="0" quotePrefix="0" xfId="0">
      <alignment horizontal="left" vertical="center" indent="1"/>
    </xf>
    <xf numFmtId="0" fontId="3" fillId="2" borderId="0" applyAlignment="1" pivotButton="0" quotePrefix="0" xfId="0">
      <alignment horizontal="left" vertical="center" indent="1"/>
    </xf>
    <xf numFmtId="0" fontId="0" fillId="0" borderId="0" pivotButton="0" quotePrefix="0" xfId="0"/>
    <xf numFmtId="0" fontId="0" fillId="0" borderId="1" pivotButton="0" quotePrefix="0" xfId="0"/>
    <xf numFmtId="0" fontId="36" fillId="0" borderId="52" applyAlignment="1" pivotButton="0" quotePrefix="0" xfId="0">
      <alignment horizontal="center" vertical="center"/>
    </xf>
    <xf numFmtId="0" fontId="0" fillId="0" borderId="27" pivotButton="0" quotePrefix="0" xfId="0"/>
    <xf numFmtId="0" fontId="0" fillId="0" borderId="13" pivotButton="0" quotePrefix="0" xfId="0"/>
    <xf numFmtId="0" fontId="36" fillId="7" borderId="6" applyAlignment="1" pivotButton="0" quotePrefix="0" xfId="0">
      <alignment horizontal="center" vertical="center"/>
    </xf>
    <xf numFmtId="0" fontId="36" fillId="7" borderId="52" applyAlignment="1" pivotButton="0" quotePrefix="0" xfId="0">
      <alignment horizontal="center" vertical="center"/>
    </xf>
    <xf numFmtId="0" fontId="36" fillId="0" borderId="6" applyAlignment="1" pivotButton="0" quotePrefix="0" xfId="0">
      <alignment horizontal="center" vertical="center"/>
    </xf>
    <xf numFmtId="174" fontId="32" fillId="7" borderId="6" applyAlignment="1" pivotButton="0" quotePrefix="0" xfId="0">
      <alignment horizontal="left" vertical="center" indent="2"/>
    </xf>
    <xf numFmtId="174" fontId="32" fillId="7" borderId="6" applyAlignment="1" pivotButton="0" quotePrefix="0" xfId="0">
      <alignment horizontal="right" vertical="center"/>
    </xf>
    <xf numFmtId="174" fontId="32" fillId="12" borderId="6" applyAlignment="1" pivotButton="0" quotePrefix="0" xfId="0">
      <alignment horizontal="left" vertical="center" indent="2"/>
    </xf>
    <xf numFmtId="174" fontId="32" fillId="12" borderId="6" applyAlignment="1" pivotButton="0" quotePrefix="0" xfId="0">
      <alignment horizontal="right" vertical="center"/>
    </xf>
    <xf numFmtId="174" fontId="31" fillId="5" borderId="6" applyAlignment="1" pivotButton="0" quotePrefix="0" xfId="0">
      <alignment horizontal="left" vertical="center" indent="2"/>
    </xf>
    <xf numFmtId="174" fontId="30" fillId="5" borderId="6" applyAlignment="1" pivotButton="0" quotePrefix="0" xfId="0">
      <alignment horizontal="left" vertical="center" indent="2"/>
    </xf>
    <xf numFmtId="174" fontId="32" fillId="7" borderId="12" applyAlignment="1" pivotButton="0" quotePrefix="0" xfId="0">
      <alignment horizontal="left" vertical="center" indent="2"/>
    </xf>
    <xf numFmtId="174" fontId="32" fillId="12" borderId="9" applyAlignment="1" pivotButton="0" quotePrefix="0" xfId="0">
      <alignment horizontal="right" vertical="center"/>
    </xf>
    <xf numFmtId="175" fontId="32" fillId="12" borderId="6" applyAlignment="1" pivotButton="0" quotePrefix="0" xfId="0">
      <alignment horizontal="right" vertical="center"/>
    </xf>
    <xf numFmtId="175" fontId="32" fillId="12" borderId="9" applyAlignment="1" pivotButton="0" quotePrefix="0" xfId="0">
      <alignment horizontal="right" vertical="center"/>
    </xf>
    <xf numFmtId="174" fontId="32" fillId="7" borderId="9" applyAlignment="1" pivotButton="0" quotePrefix="0" xfId="0">
      <alignment horizontal="right" vertical="center"/>
    </xf>
    <xf numFmtId="174" fontId="32" fillId="12" borderId="6" applyAlignment="1" pivotButton="0" quotePrefix="0" xfId="1">
      <alignment horizontal="right" vertical="center"/>
    </xf>
    <xf numFmtId="174" fontId="32" fillId="12" borderId="9" applyAlignment="1" pivotButton="0" quotePrefix="0" xfId="1">
      <alignment horizontal="right" vertical="center"/>
    </xf>
    <xf numFmtId="175" fontId="32" fillId="12" borderId="6" applyAlignment="1" pivotButton="0" quotePrefix="0" xfId="1">
      <alignment horizontal="right" vertical="center"/>
    </xf>
    <xf numFmtId="175" fontId="32" fillId="12" borderId="9" applyAlignment="1" pivotButton="0" quotePrefix="0" xfId="1">
      <alignment horizontal="right" vertical="center"/>
    </xf>
    <xf numFmtId="175" fontId="32" fillId="7" borderId="6" applyAlignment="1" pivotButton="0" quotePrefix="0" xfId="1">
      <alignment horizontal="right" vertical="center"/>
    </xf>
    <xf numFmtId="175" fontId="32" fillId="7" borderId="9" applyAlignment="1" pivotButton="0" quotePrefix="0" xfId="1">
      <alignment horizontal="right" vertical="center"/>
    </xf>
    <xf numFmtId="171" fontId="33" fillId="0" borderId="0" pivotButton="0" quotePrefix="0" xfId="2"/>
    <xf numFmtId="175" fontId="32" fillId="7" borderId="6" applyAlignment="1" pivotButton="0" quotePrefix="0" xfId="0">
      <alignment horizontal="right" vertical="center"/>
    </xf>
    <xf numFmtId="175" fontId="32" fillId="7" borderId="9" applyAlignment="1" pivotButton="0" quotePrefix="0" xfId="0">
      <alignment horizontal="right" vertical="center"/>
    </xf>
    <xf numFmtId="175" fontId="32" fillId="6" borderId="6" applyAlignment="1" pivotButton="0" quotePrefix="0" xfId="0">
      <alignment horizontal="right" vertical="center"/>
    </xf>
    <xf numFmtId="175" fontId="32" fillId="6" borderId="9" applyAlignment="1" pivotButton="0" quotePrefix="0" xfId="0">
      <alignment horizontal="right" vertical="center"/>
    </xf>
    <xf numFmtId="171" fontId="25" fillId="0" borderId="0" applyAlignment="1" pivotButton="0" quotePrefix="0" xfId="2">
      <alignment horizontal="right" vertical="center"/>
    </xf>
    <xf numFmtId="171" fontId="25" fillId="0" borderId="0" applyAlignment="1" pivotButton="0" quotePrefix="0" xfId="0">
      <alignment horizontal="right" vertical="center"/>
    </xf>
    <xf numFmtId="171" fontId="26" fillId="0" borderId="0" applyAlignment="1" pivotButton="0" quotePrefix="0" xfId="2">
      <alignment horizontal="right" vertical="center"/>
    </xf>
    <xf numFmtId="171" fontId="26" fillId="0" borderId="0" applyAlignment="1" pivotButton="0" quotePrefix="0" xfId="0">
      <alignment horizontal="right" vertical="center"/>
    </xf>
    <xf numFmtId="172" fontId="25" fillId="7" borderId="6" applyAlignment="1" pivotButton="0" quotePrefix="0" xfId="0">
      <alignment horizontal="right" vertical="center"/>
    </xf>
    <xf numFmtId="171" fontId="32" fillId="12" borderId="29" applyAlignment="1" pivotButton="0" quotePrefix="0" xfId="2">
      <alignment horizontal="right" vertical="center"/>
    </xf>
    <xf numFmtId="171" fontId="32" fillId="7" borderId="10" applyAlignment="1" pivotButton="0" quotePrefix="0" xfId="2">
      <alignment horizontal="right" vertical="center"/>
    </xf>
    <xf numFmtId="171" fontId="30" fillId="12" borderId="10" applyAlignment="1" pivotButton="0" quotePrefix="0" xfId="2">
      <alignment horizontal="right" vertical="center"/>
    </xf>
    <xf numFmtId="171" fontId="32" fillId="7" borderId="13" applyAlignment="1" pivotButton="0" quotePrefix="0" xfId="2">
      <alignment horizontal="right" vertical="center"/>
    </xf>
    <xf numFmtId="171" fontId="32" fillId="12" borderId="6" applyAlignment="1" pivotButton="0" quotePrefix="0" xfId="2">
      <alignment horizontal="right" vertical="center"/>
    </xf>
    <xf numFmtId="171" fontId="32" fillId="7" borderId="6" applyAlignment="1" pivotButton="0" quotePrefix="0" xfId="2">
      <alignment horizontal="right" vertical="center"/>
    </xf>
    <xf numFmtId="171" fontId="30" fillId="12" borderId="6" applyAlignment="1" pivotButton="0" quotePrefix="0" xfId="2">
      <alignment horizontal="right" vertical="center"/>
    </xf>
    <xf numFmtId="171" fontId="30" fillId="0" borderId="12" applyAlignment="1" pivotButton="0" quotePrefix="0" xfId="2">
      <alignment horizontal="right" vertical="center"/>
    </xf>
    <xf numFmtId="171" fontId="30" fillId="0" borderId="20" applyAlignment="1" pivotButton="0" quotePrefix="0" xfId="2">
      <alignment horizontal="right" vertical="center"/>
    </xf>
    <xf numFmtId="171" fontId="4" fillId="0" borderId="0" applyAlignment="1" pivotButton="0" quotePrefix="0" xfId="2">
      <alignment horizontal="right" vertical="center"/>
    </xf>
    <xf numFmtId="171" fontId="32" fillId="7" borderId="7" applyAlignment="1" pivotButton="0" quotePrefix="0" xfId="2">
      <alignment horizontal="right" vertical="center"/>
    </xf>
    <xf numFmtId="171" fontId="30" fillId="12" borderId="13" applyAlignment="1" pivotButton="0" quotePrefix="0" xfId="2">
      <alignment horizontal="right" vertical="center"/>
    </xf>
    <xf numFmtId="171" fontId="30" fillId="0" borderId="6" applyAlignment="1" pivotButton="0" quotePrefix="0" xfId="2">
      <alignment horizontal="right" vertical="center"/>
    </xf>
    <xf numFmtId="171" fontId="32" fillId="15" borderId="12" applyAlignment="1" pivotButton="0" quotePrefix="0" xfId="2">
      <alignment horizontal="right" vertical="center"/>
    </xf>
    <xf numFmtId="171" fontId="32" fillId="15" borderId="20" applyAlignment="1" pivotButton="0" quotePrefix="0" xfId="2">
      <alignment horizontal="right" vertical="center"/>
    </xf>
    <xf numFmtId="171" fontId="32" fillId="0" borderId="7" applyAlignment="1" pivotButton="0" quotePrefix="0" xfId="0">
      <alignment horizontal="right" vertical="center"/>
    </xf>
    <xf numFmtId="171" fontId="32" fillId="7" borderId="10" applyAlignment="1" pivotButton="0" quotePrefix="0" xfId="0">
      <alignment horizontal="right" vertical="center"/>
    </xf>
    <xf numFmtId="171" fontId="32" fillId="12" borderId="10" applyAlignment="1" pivotButton="0" quotePrefix="0" xfId="0">
      <alignment horizontal="right" vertical="center"/>
    </xf>
    <xf numFmtId="173" fontId="5" fillId="0" borderId="0" applyAlignment="1" pivotButton="0" quotePrefix="0" xfId="0">
      <alignment horizontal="left" vertical="center" indent="1"/>
    </xf>
    <xf numFmtId="171" fontId="1" fillId="0" borderId="0" applyAlignment="1" pivotButton="0" quotePrefix="0" xfId="2">
      <alignment horizontal="right" vertical="center"/>
    </xf>
    <xf numFmtId="171" fontId="25" fillId="6" borderId="6" applyAlignment="1" pivotButton="0" quotePrefix="0" xfId="2">
      <alignment horizontal="right" vertical="center"/>
    </xf>
    <xf numFmtId="171" fontId="25" fillId="0" borderId="6" applyAlignment="1" pivotButton="0" quotePrefix="0" xfId="2">
      <alignment horizontal="right" vertical="center"/>
    </xf>
    <xf numFmtId="171" fontId="26" fillId="5" borderId="6" applyAlignment="1" pivotButton="0" quotePrefix="0" xfId="2">
      <alignment horizontal="right" vertical="center"/>
    </xf>
    <xf numFmtId="0" fontId="0" fillId="0" borderId="38" pivotButton="0" quotePrefix="0" xfId="0"/>
    <xf numFmtId="0" fontId="0" fillId="0" borderId="39" pivotButton="0" quotePrefix="0" xfId="0"/>
    <xf numFmtId="0" fontId="0" fillId="0" borderId="34" pivotButton="0" quotePrefix="0" xfId="0"/>
    <xf numFmtId="0" fontId="0" fillId="0" borderId="43" pivotButton="0" quotePrefix="0" xfId="0"/>
    <xf numFmtId="0" fontId="6" fillId="22" borderId="53" applyAlignment="1" pivotButton="0" quotePrefix="0" xfId="0">
      <alignment horizontal="center" vertical="center" wrapText="1"/>
    </xf>
    <xf numFmtId="0" fontId="0" fillId="0" borderId="56" pivotButton="0" quotePrefix="0" xfId="0"/>
    <xf numFmtId="0" fontId="0" fillId="0" borderId="57" pivotButton="0" quotePrefix="0" xfId="0"/>
  </cellXfs>
  <cellStyles count="4">
    <cellStyle name="Normal" xfId="0" builtinId="0"/>
    <cellStyle name="Comma" xfId="1" builtinId="3"/>
    <cellStyle name="Currency" xfId="2" builtinId="4"/>
    <cellStyle name="Percent" xfId="3" builtinId="5"/>
  </cellStyles>
  <dxfs count="33">
    <dxf>
      <fill>
        <patternFill>
          <bgColor theme="9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5" tint="0.7999816888943144"/>
        </patternFill>
      </fill>
    </dxf>
    <dxf>
      <font>
        <color theme="5"/>
      </font>
      <fill>
        <patternFill>
          <bgColor theme="5" tint="0.7999816888943144"/>
        </patternFill>
      </fill>
    </dxf>
    <dxf>
      <fill>
        <patternFill>
          <bgColor theme="9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9" tint="0.7999816888943144"/>
        </patternFill>
      </fill>
    </dxf>
    <dxf>
      <fill>
        <patternFill>
          <bgColor theme="5" tint="0.7999816888943144"/>
        </patternFill>
      </fill>
    </dxf>
    <dxf>
      <font>
        <color theme="5"/>
      </font>
      <fill>
        <patternFill>
          <bgColor theme="5" tint="0.7999816888943144"/>
        </patternFill>
      </fill>
    </dxf>
    <dxf>
      <fill>
        <patternFill>
          <bgColor theme="9" tint="0.7999816888943144"/>
        </patternFill>
      </fill>
    </dxf>
    <dxf>
      <fill>
        <patternFill>
          <bgColor theme="5" tint="0.7999816888943144"/>
        </patternFill>
      </fill>
    </dxf>
    <dxf>
      <font>
        <color theme="5"/>
      </font>
      <fill>
        <patternFill>
          <bgColor theme="5" tint="0.7999816888943144"/>
        </patternFill>
      </fill>
    </dxf>
    <dxf>
      <font>
        <color theme="5"/>
      </font>
      <fill>
        <patternFill>
          <bgColor theme="5" tint="0.7999816888943144"/>
        </patternFill>
      </fill>
    </dxf>
    <dxf>
      <font>
        <color theme="9" tint="-0.249946592608417"/>
      </font>
      <fill>
        <patternFill>
          <bgColor theme="9" tint="0.7999816888943144"/>
        </patternFill>
      </fill>
    </dxf>
    <dxf>
      <font>
        <color theme="5" tint="-0.249946592608417"/>
      </font>
      <fill>
        <patternFill>
          <bgColor theme="5" tint="0.3999450666829432"/>
        </patternFill>
      </fill>
    </dxf>
    <dxf>
      <font>
        <b val="1"/>
        <strike val="0"/>
        <color theme="9" tint="-0.249946592608417"/>
      </font>
      <fill>
        <patternFill>
          <bgColor theme="9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9" tint="0.7999816888943144"/>
        </patternFill>
      </fill>
    </dxf>
    <dxf>
      <fill>
        <patternFill>
          <bgColor theme="9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9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9" tint="0.7999816888943144"/>
        </patternFill>
      </fill>
    </dxf>
    <dxf>
      <font>
        <color theme="9" tint="-0.249946592608417"/>
      </font>
      <fill>
        <patternFill>
          <bgColor theme="9" tint="0.7999816888943144"/>
        </patternFill>
      </fill>
    </dxf>
    <dxf>
      <font>
        <color theme="9" tint="-0.249946592608417"/>
      </font>
      <fill>
        <patternFill>
          <bgColor theme="9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5"/>
      </font>
      <fill>
        <patternFill>
          <bgColor theme="5" tint="0.7999816888943144"/>
        </patternFill>
      </fill>
    </dxf>
    <dxf>
      <font>
        <b val="1"/>
        <color rgb="FF54823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548235"/>
      <rgbColor rgb="FF800080"/>
      <rgbColor rgb="FF2E75B6"/>
      <rgbColor rgb="FFBBBBBB"/>
      <rgbColor rgb="FF808080"/>
      <rgbColor rgb="FF9999FF"/>
      <rgbColor rgb="FF7030A0"/>
      <rgbColor rgb="FFFFF8E7"/>
      <rgbColor rgb="FFD6E4F0"/>
      <rgbColor rgb="FF660066"/>
      <rgbColor rgb="FFFF8080"/>
      <rgbColor rgb="FF0070C0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D9D9D9"/>
      <rgbColor rgb="FFA0B4C8"/>
      <rgbColor rgb="FFFF99CC"/>
      <rgbColor rgb="FFCC99FF"/>
      <rgbColor rgb="FFFCE4D6"/>
      <rgbColor rgb="FF4472C4"/>
      <rgbColor rgb="FF33CCCC"/>
      <rgbColor rgb="FF99CC00"/>
      <rgbColor rgb="FFFFCC00"/>
      <rgbColor rgb="FFFF9900"/>
      <rgbColor rgb="FFED7D31"/>
      <rgbColor rgb="FF595959"/>
      <rgbColor rgb="FFC9A84C"/>
      <rgbColor rgb="FF1F3864"/>
      <rgbColor rgb="FF339966"/>
      <rgbColor rgb="FF003300"/>
      <rgbColor rgb="FF375623"/>
      <rgbColor rgb="FF7F4B00"/>
      <rgbColor rgb="FF993366"/>
      <rgbColor rgb="FF2F5597"/>
      <rgbColor rgb="FF1F1F1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3864"/>
    <outlinePr summaryBelow="1" summaryRight="1"/>
    <pageSetUpPr/>
  </sheetPr>
  <dimension ref="A1:A1"/>
  <sheetViews>
    <sheetView showGridLines="0" zoomScaleNormal="100" workbookViewId="0">
      <selection activeCell="A2" sqref="A2"/>
    </sheetView>
  </sheetViews>
  <sheetFormatPr baseColWidth="8" defaultColWidth="8.7265625" defaultRowHeight="14.5"/>
  <cols>
    <col width="90.26953125" customWidth="1" style="534" min="1" max="1"/>
  </cols>
  <sheetData>
    <row r="1" ht="120" customHeight="1" s="534">
      <c r="A1" s="77" t="inlineStr">
        <is>
          <t>100 MWac Solar PV  +  50 MW / 200 MWh BESS
CAISO SP15  —  Project Finance Model</t>
        </is>
      </c>
    </row>
  </sheetData>
  <pageMargins left="0.7" right="0.7" top="0.75" bottom="0.75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tabColor rgb="FF2E75B6"/>
    <outlinePr summaryBelow="1" summaryRight="1"/>
    <pageSetUpPr/>
  </sheetPr>
  <dimension ref="A1:G102"/>
  <sheetViews>
    <sheetView showGridLines="0" topLeftCell="A60" zoomScaleNormal="100" workbookViewId="0">
      <selection activeCell="C91" sqref="C91"/>
    </sheetView>
  </sheetViews>
  <sheetFormatPr baseColWidth="8" defaultColWidth="8.7265625" defaultRowHeight="14.5"/>
  <cols>
    <col width="2" customWidth="1" style="534" min="1" max="1"/>
    <col width="22" customWidth="1" style="139" min="2" max="2"/>
    <col width="36" customWidth="1" style="534" min="3" max="3"/>
    <col width="17.90625" customWidth="1" style="78" min="4" max="4"/>
    <col width="17.90625" customWidth="1" style="534" min="5" max="5"/>
    <col width="56.54296875" customWidth="1" style="534" min="6" max="6"/>
    <col width="57.453125" customWidth="1" style="79" min="7" max="7"/>
  </cols>
  <sheetData>
    <row r="1" ht="27.75" customHeight="1" s="534" thickBot="1">
      <c r="A1" s="510" t="inlineStr">
        <is>
          <t>INPUTS  —  All Model Assumptions  ·  100 MWac Solar PV + 50 MW/200 MWh BESS  ·  CAISO SP15</t>
        </is>
      </c>
      <c r="B1" s="535" t="n"/>
      <c r="C1" s="535" t="n"/>
      <c r="D1" s="535" t="n"/>
      <c r="E1" s="535" t="n"/>
      <c r="F1" s="535" t="n"/>
      <c r="G1" s="535" t="n"/>
    </row>
    <row r="2">
      <c r="A2" s="130" t="n"/>
      <c r="B2" s="130" t="n"/>
      <c r="C2" s="130" t="n"/>
      <c r="D2" s="130" t="n"/>
      <c r="E2" s="130" t="n"/>
      <c r="F2" s="130" t="n"/>
      <c r="G2" s="130" t="n"/>
    </row>
    <row r="3" ht="18" customHeight="1" s="534" thickBot="1">
      <c r="A3" s="64" t="n"/>
      <c r="B3" s="62" t="inlineStr">
        <is>
          <t>Category</t>
        </is>
      </c>
      <c r="C3" s="80" t="inlineStr">
        <is>
          <t>Variable Name</t>
        </is>
      </c>
      <c r="D3" s="80" t="inlineStr">
        <is>
          <t>Value</t>
        </is>
      </c>
      <c r="E3" s="80" t="inlineStr">
        <is>
          <t>Unit</t>
        </is>
      </c>
      <c r="F3" s="80" t="inlineStr">
        <is>
          <t>Source Citation</t>
        </is>
      </c>
      <c r="G3" s="80" t="inlineStr">
        <is>
          <t>Notes</t>
        </is>
      </c>
    </row>
    <row r="4" ht="19.5" customHeight="1" s="534" thickBot="1">
      <c r="A4" s="81" t="n"/>
      <c r="B4" s="82" t="inlineStr">
        <is>
          <t>General Assumptions</t>
        </is>
      </c>
      <c r="C4" s="81" t="n"/>
      <c r="D4" s="81" t="n"/>
      <c r="E4" s="81" t="n"/>
      <c r="F4" s="81" t="n"/>
      <c r="G4" s="81" t="n"/>
    </row>
    <row r="5" ht="18" customHeight="1" s="534">
      <c r="B5" s="134" t="n"/>
      <c r="C5" s="83" t="inlineStr">
        <is>
          <t>Technology</t>
        </is>
      </c>
      <c r="D5" s="499" t="inlineStr">
        <is>
          <t>Single-axis tracking PV + AC-coupled Li-ion BESS</t>
        </is>
      </c>
      <c r="E5" s="251" t="n"/>
      <c r="F5" s="498" t="inlineStr">
        <is>
          <t>Developer assumption</t>
        </is>
      </c>
      <c r="G5" s="498" t="n"/>
    </row>
    <row r="6" ht="18" customHeight="1" s="534">
      <c r="B6" s="135" t="n"/>
      <c r="C6" s="87" t="inlineStr">
        <is>
          <t>Location Proxy</t>
        </is>
      </c>
      <c r="D6" s="500" t="inlineStr">
        <is>
          <t>CAISO SP15  —  Southern California</t>
        </is>
      </c>
      <c r="E6" s="253" t="n"/>
      <c r="F6" s="9" t="inlineStr">
        <is>
          <t>CAISO interconnection queue</t>
        </is>
      </c>
      <c r="G6" s="9" t="n"/>
    </row>
    <row r="7" ht="18" customHeight="1" s="534">
      <c r="B7" s="134" t="n"/>
      <c r="C7" s="83" t="inlineStr">
        <is>
          <t>COD Assumption</t>
        </is>
      </c>
      <c r="D7" s="499" t="inlineStr">
        <is>
          <t>Year 1 of model (no construction period)</t>
        </is>
      </c>
      <c r="E7" s="251" t="n"/>
      <c r="F7" s="12" t="inlineStr">
        <is>
          <t>Simplification — see Limitations</t>
        </is>
      </c>
      <c r="G7" s="12" t="n"/>
    </row>
    <row r="8" ht="18" customHeight="1" s="534">
      <c r="B8" s="135" t="n"/>
      <c r="C8" s="87" t="inlineStr">
        <is>
          <t>Project Life</t>
        </is>
      </c>
      <c r="D8" s="500" t="inlineStr">
        <is>
          <t>30 years</t>
        </is>
      </c>
      <c r="E8" s="253" t="n"/>
      <c r="F8" s="90" t="inlineStr">
        <is>
          <t>Developer assumption</t>
        </is>
      </c>
      <c r="G8" s="90" t="n"/>
    </row>
    <row r="9">
      <c r="B9" s="136" t="n"/>
      <c r="C9" s="91" t="n"/>
      <c r="D9" s="92" t="n"/>
      <c r="E9" s="91" t="n"/>
      <c r="F9" s="91" t="n"/>
      <c r="G9" s="93" t="n"/>
    </row>
    <row r="10" ht="19.5" customHeight="1" s="534" thickBot="1">
      <c r="A10" s="81" t="n"/>
      <c r="B10" s="82" t="inlineStr">
        <is>
          <t>PV Assumptions</t>
        </is>
      </c>
      <c r="C10" s="94" t="n"/>
      <c r="D10" s="95" t="n"/>
      <c r="E10" s="94" t="n"/>
      <c r="F10" s="94" t="n"/>
      <c r="G10" s="96" t="n"/>
    </row>
    <row r="11" ht="18" customHeight="1" s="534">
      <c r="B11" s="134" t="n"/>
      <c r="C11" s="83" t="inlineStr">
        <is>
          <t xml:space="preserve">Solar Capacity (MWac)  </t>
        </is>
      </c>
      <c r="D11" s="84" t="n">
        <v>100</v>
      </c>
      <c r="E11" s="85" t="inlineStr">
        <is>
          <t>MWac</t>
        </is>
      </c>
      <c r="F11" s="86" t="inlineStr">
        <is>
          <t>Developer assumption</t>
        </is>
      </c>
      <c r="G11" s="131" t="n"/>
    </row>
    <row r="12" ht="18" customHeight="1" s="534">
      <c r="B12" s="135" t="n"/>
      <c r="C12" s="87" t="inlineStr">
        <is>
          <t xml:space="preserve">Solar Capacity (MWdc)  </t>
        </is>
      </c>
      <c r="D12" s="88" t="n">
        <v>120</v>
      </c>
      <c r="E12" s="89" t="inlineStr">
        <is>
          <t>MWdc</t>
        </is>
      </c>
      <c r="F12" s="90" t="inlineStr">
        <is>
          <t>Developer assumption</t>
        </is>
      </c>
      <c r="G12" s="132" t="n"/>
    </row>
    <row r="13" ht="18" customHeight="1" s="534">
      <c r="B13" s="134" t="n"/>
      <c r="C13" s="83" t="inlineStr">
        <is>
          <t>P50 Capacity Factor</t>
        </is>
      </c>
      <c r="D13" s="494" t="n">
        <v>0.27</v>
      </c>
      <c r="E13" s="85" t="inlineStr">
        <is>
          <t>AC basis</t>
        </is>
      </c>
      <c r="F13" s="86" t="inlineStr">
        <is>
          <t>NREL NSRDB / SAM — SP15</t>
        </is>
      </c>
      <c r="G13" s="131" t="inlineStr">
        <is>
          <t>P50 is the base case and represents the energy production level that has a 50% probability of being exceeded in any given year.</t>
        </is>
      </c>
    </row>
    <row r="14" ht="18" customHeight="1" s="534">
      <c r="B14" s="135" t="n"/>
      <c r="C14" s="87" t="inlineStr">
        <is>
          <t>P90 Capacity Factor</t>
        </is>
      </c>
      <c r="D14" s="493" t="n">
        <v>0.24</v>
      </c>
      <c r="E14" s="89" t="inlineStr">
        <is>
          <t>AC basis</t>
        </is>
      </c>
      <c r="F14" s="90" t="inlineStr">
        <is>
          <t>NREL NSRDB / SAM — SP15</t>
        </is>
      </c>
      <c r="G14" s="132" t="inlineStr">
        <is>
          <t>P90 is the lender case and represents the energy production level that has a 90% probability of being exceeded in any given year. Used for minimum DSCR calculation.</t>
        </is>
      </c>
    </row>
    <row r="15" ht="18" customHeight="1" s="534">
      <c r="B15" s="134" t="n"/>
      <c r="C15" s="83" t="inlineStr">
        <is>
          <t>Degradation Rate</t>
        </is>
      </c>
      <c r="D15" s="494" t="n">
        <v>0.005</v>
      </c>
      <c r="E15" s="85" t="inlineStr">
        <is>
          <t>%</t>
        </is>
      </c>
      <c r="F15" s="86" t="inlineStr">
        <is>
          <t>NREL PV Reliability Roadmap</t>
        </is>
      </c>
      <c r="G15" s="131" t="n"/>
    </row>
    <row r="16" ht="18" customHeight="1" s="534">
      <c r="B16" s="135" t="n"/>
      <c r="C16" s="87" t="inlineStr">
        <is>
          <t>Availability / Downtime Loss</t>
        </is>
      </c>
      <c r="D16" s="496" t="n">
        <v>0.015</v>
      </c>
      <c r="E16" s="89" t="inlineStr">
        <is>
          <t>%</t>
        </is>
      </c>
      <c r="F16" s="502" t="inlineStr">
        <is>
          <t>PVWatts</t>
        </is>
      </c>
      <c r="G16" s="132" t="inlineStr">
        <is>
          <t>1.5% is between PVWatts default (3.0%, NREL PVWatts Version 5 Manual) and best-in-class monitored systems (0.5%). Reflects new utility-scale plant with professional O&amp;M contract. See also NREL SAM default (5.0%) for conservative upper bound</t>
        </is>
      </c>
    </row>
    <row r="17" ht="18" customHeight="1" s="534">
      <c r="B17" s="134" t="n"/>
      <c r="C17" s="83" t="inlineStr">
        <is>
          <t>Curtailment Losses</t>
        </is>
      </c>
      <c r="D17" s="497" t="n">
        <v>0.04</v>
      </c>
      <c r="E17" s="85" t="inlineStr">
        <is>
          <t>%</t>
        </is>
      </c>
      <c r="F17" s="501" t="inlineStr">
        <is>
          <t>LBNL Utility-Scale Solar 2024</t>
        </is>
      </c>
      <c r="G17" s="131" t="inlineStr">
        <is>
          <t>4% net curtailment loss — reflects 2023 CAISO system average of ~3% (LBNL Utility-Scale Solar 2024, Figures 27-28) adjusted upward for project life curtailment trend and storage co-location offset. Sensitivity range: 2–12%. EIA data shows 29% year-over-year increase in CAISO curtailment in 2024."</t>
        </is>
      </c>
    </row>
    <row r="18" ht="18" customHeight="1" s="534">
      <c r="B18" s="135" t="n"/>
      <c r="C18" s="87" t="inlineStr">
        <is>
          <t>Hours per Year</t>
        </is>
      </c>
      <c r="D18" s="88">
        <f>365*24</f>
        <v/>
      </c>
      <c r="E18" s="89" t="inlineStr">
        <is>
          <t>Hours</t>
        </is>
      </c>
      <c r="F18" s="90" t="inlineStr">
        <is>
          <t>N/A</t>
        </is>
      </c>
      <c r="G18" s="132" t="n"/>
    </row>
    <row r="19">
      <c r="B19" s="136" t="n"/>
      <c r="C19" s="91" t="n"/>
      <c r="D19" s="92" t="n"/>
      <c r="E19" s="91" t="n"/>
      <c r="F19" s="91" t="n"/>
      <c r="G19" s="93" t="n"/>
    </row>
    <row r="20">
      <c r="B20" s="136" t="n"/>
      <c r="C20" s="91" t="n"/>
      <c r="D20" s="92" t="n"/>
      <c r="E20" s="91" t="n"/>
      <c r="F20" s="91" t="n"/>
      <c r="G20" s="93" t="n"/>
    </row>
    <row r="21" ht="19.5" customHeight="1" s="534" thickBot="1">
      <c r="A21" s="81" t="n"/>
      <c r="B21" s="82" t="inlineStr">
        <is>
          <t>BESS Assumptions</t>
        </is>
      </c>
      <c r="C21" s="94" t="n"/>
      <c r="D21" s="95" t="n"/>
      <c r="E21" s="94" t="n"/>
      <c r="F21" s="94" t="n"/>
      <c r="G21" s="96" t="n"/>
    </row>
    <row r="22" ht="18" customHeight="1" s="534">
      <c r="B22" s="135" t="n"/>
      <c r="C22" s="87" t="inlineStr">
        <is>
          <t>BESS Power Rating</t>
        </is>
      </c>
      <c r="D22" s="88" t="n">
        <v>50</v>
      </c>
      <c r="E22" s="89" t="inlineStr">
        <is>
          <t>MW</t>
        </is>
      </c>
      <c r="F22" s="90" t="inlineStr">
        <is>
          <t>Developer assumption</t>
        </is>
      </c>
      <c r="G22" s="132" t="n"/>
    </row>
    <row r="23" ht="18" customHeight="1" s="534">
      <c r="B23" s="134" t="n"/>
      <c r="C23" s="83" t="inlineStr">
        <is>
          <t>BESS Storage Capacity</t>
        </is>
      </c>
      <c r="D23" s="84" t="n">
        <v>200</v>
      </c>
      <c r="E23" s="85" t="inlineStr">
        <is>
          <t>MWh</t>
        </is>
      </c>
      <c r="F23" s="86" t="inlineStr">
        <is>
          <t>Developer assumption</t>
        </is>
      </c>
      <c r="G23" s="131" t="n"/>
    </row>
    <row r="24" ht="18" customHeight="1" s="534">
      <c r="B24" s="135" t="n"/>
      <c r="C24" s="87" t="inlineStr">
        <is>
          <t>BESS Cycles per Day</t>
        </is>
      </c>
      <c r="D24" s="88" t="n">
        <v>1.3</v>
      </c>
      <c r="E24" s="89" t="inlineStr">
        <is>
          <t>cycles/day</t>
        </is>
      </c>
      <c r="F24" s="90" t="inlineStr">
        <is>
          <t>Simplified dispatch assumption</t>
        </is>
      </c>
      <c r="G24" s="132" t="n"/>
    </row>
    <row r="25" ht="18" customHeight="1" s="534">
      <c r="B25" s="134" t="n"/>
      <c r="C25" s="83" t="inlineStr">
        <is>
          <t>BESS Round-Trip Efficiency (RTE)</t>
        </is>
      </c>
      <c r="D25" s="98" t="n">
        <v>0.85</v>
      </c>
      <c r="E25" s="85" t="inlineStr">
        <is>
          <t>%</t>
        </is>
      </c>
      <c r="F25" s="86" t="inlineStr">
        <is>
          <t>Standard Li-ion assumption</t>
        </is>
      </c>
      <c r="G25" s="131" t="n"/>
    </row>
    <row r="26" ht="18" customHeight="1" s="534">
      <c r="B26" s="135" t="n"/>
      <c r="C26" s="87" t="inlineStr">
        <is>
          <t>BESS Degradation Rate</t>
        </is>
      </c>
      <c r="D26" s="493" t="n">
        <v>0.025</v>
      </c>
      <c r="E26" s="89" t="inlineStr">
        <is>
          <t>%</t>
        </is>
      </c>
      <c r="F26" s="90" t="inlineStr">
        <is>
          <t>NREL ATB 2024</t>
        </is>
      </c>
      <c r="G26" s="132" t="n"/>
    </row>
    <row r="27" ht="18" customHeight="1" s="534">
      <c r="B27" s="134" t="n"/>
      <c r="C27" s="83" t="inlineStr">
        <is>
          <t>Days per Year</t>
        </is>
      </c>
      <c r="D27" s="84" t="n">
        <v>365</v>
      </c>
      <c r="E27" s="85" t="inlineStr">
        <is>
          <t>Days</t>
        </is>
      </c>
      <c r="F27" s="86" t="inlineStr">
        <is>
          <t>N/A</t>
        </is>
      </c>
      <c r="G27" s="131" t="n"/>
    </row>
    <row r="29" ht="19.5" customHeight="1" s="534" thickBot="1">
      <c r="A29" s="81" t="n"/>
      <c r="B29" s="82" t="inlineStr">
        <is>
          <t>Revenue Assumptions</t>
        </is>
      </c>
      <c r="C29" s="81" t="n"/>
      <c r="D29" s="81" t="n"/>
      <c r="E29" s="81" t="n"/>
      <c r="F29" s="81" t="n"/>
      <c r="G29" s="81" t="n"/>
    </row>
    <row r="30" ht="18" customHeight="1" s="534">
      <c r="B30" s="536" t="inlineStr">
        <is>
          <t>PV</t>
        </is>
      </c>
      <c r="C30" s="87" t="inlineStr">
        <is>
          <t>PPA Price (Year 1)</t>
        </is>
      </c>
      <c r="D30" s="99" t="n">
        <v>50</v>
      </c>
      <c r="E30" s="89" t="inlineStr">
        <is>
          <t>$/MWh</t>
        </is>
      </c>
      <c r="F30" s="90" t="inlineStr">
        <is>
          <t>LBNL Utility-Scale Solar 2024</t>
        </is>
      </c>
      <c r="G30" s="132" t="n"/>
    </row>
    <row r="31" ht="18" customHeight="1" s="534">
      <c r="B31" s="537" t="n"/>
      <c r="C31" s="83" t="inlineStr">
        <is>
          <t>PPA Escalator</t>
        </is>
      </c>
      <c r="D31" s="494" t="n">
        <v>0.01</v>
      </c>
      <c r="E31" s="85" t="inlineStr">
        <is>
          <t>%</t>
        </is>
      </c>
      <c r="F31" s="86" t="inlineStr">
        <is>
          <t>Price growth assumption</t>
        </is>
      </c>
      <c r="G31" s="131" t="n"/>
    </row>
    <row r="32" ht="18" customHeight="1" s="534">
      <c r="B32" s="537" t="n"/>
      <c r="C32" s="87" t="inlineStr">
        <is>
          <t>PPA Term</t>
        </is>
      </c>
      <c r="D32" s="88" t="n">
        <v>20</v>
      </c>
      <c r="E32" s="89" t="inlineStr">
        <is>
          <t>Years</t>
        </is>
      </c>
      <c r="F32" s="90" t="inlineStr">
        <is>
          <t>Market convention</t>
        </is>
      </c>
      <c r="G32" s="132" t="n"/>
    </row>
    <row r="33" ht="18" customHeight="1" s="534">
      <c r="B33" s="538" t="n"/>
      <c r="C33" s="83" t="inlineStr">
        <is>
          <t>Post-PPA Revenue (Merchant Price)</t>
        </is>
      </c>
      <c r="D33" s="100" t="n">
        <v>35</v>
      </c>
      <c r="E33" s="85" t="inlineStr">
        <is>
          <t>$/MWh</t>
        </is>
      </c>
      <c r="F33" s="86" t="inlineStr">
        <is>
          <t>Merchant: conservative proxy for years 21-30</t>
        </is>
      </c>
      <c r="G33" s="131" t="n"/>
    </row>
    <row r="35" ht="18" customHeight="1" s="534">
      <c r="B35" s="539" t="inlineStr">
        <is>
          <t>BESS Energy Arbitrage</t>
        </is>
      </c>
      <c r="C35" s="83" t="inlineStr">
        <is>
          <t>Discharge Price - Year 1</t>
        </is>
      </c>
      <c r="D35" s="100" t="n">
        <v>65</v>
      </c>
      <c r="E35" s="85" t="inlineStr">
        <is>
          <t>$/MWh</t>
        </is>
      </c>
      <c r="F35" s="86" t="inlineStr">
        <is>
          <t>SP15 evening peak proxy</t>
        </is>
      </c>
      <c r="G35" s="131" t="n"/>
    </row>
    <row r="36" ht="18" customHeight="1" s="534">
      <c r="B36" s="537" t="n"/>
      <c r="C36" s="87" t="inlineStr">
        <is>
          <t>Discharge Price Escalator Rate</t>
        </is>
      </c>
      <c r="D36" s="493" t="n">
        <v>0.015</v>
      </c>
      <c r="E36" s="89" t="inlineStr">
        <is>
          <t>% per year</t>
        </is>
      </c>
      <c r="F36" s="90" t="inlineStr">
        <is>
          <t>Price growth assumption</t>
        </is>
      </c>
      <c r="G36" s="132" t="n"/>
    </row>
    <row r="37" ht="18" customHeight="1" s="534">
      <c r="B37" s="537" t="n"/>
      <c r="C37" s="83" t="inlineStr">
        <is>
          <t>Grid Purchase Price (Charging Cost)</t>
        </is>
      </c>
      <c r="D37" s="100" t="n">
        <v>25</v>
      </c>
      <c r="E37" s="85" t="inlineStr">
        <is>
          <t>$/MWh</t>
        </is>
      </c>
      <c r="F37" s="86" t="inlineStr">
        <is>
          <t>SP15 off-peak proxy</t>
        </is>
      </c>
      <c r="G37" s="131" t="n"/>
    </row>
    <row r="38" ht="18" customHeight="1" s="534">
      <c r="B38" s="537" t="n"/>
      <c r="C38" s="87" t="inlineStr">
        <is>
          <t>Grid Purchase Price Escalator</t>
        </is>
      </c>
      <c r="D38" s="493" t="n">
        <v>0.01</v>
      </c>
      <c r="E38" s="89" t="inlineStr">
        <is>
          <t>% per year</t>
        </is>
      </c>
      <c r="F38" s="90" t="inlineStr">
        <is>
          <t>Price growth assumption</t>
        </is>
      </c>
      <c r="G38" s="132" t="n"/>
    </row>
    <row r="39" ht="18" customHeight="1" s="534">
      <c r="B39" s="538" t="n"/>
      <c r="C39" s="83" t="inlineStr">
        <is>
          <t>BESS Capacity Allocated to Arbitrage</t>
        </is>
      </c>
      <c r="D39" s="494" t="n">
        <v>0.7</v>
      </c>
      <c r="E39" s="85" t="inlineStr">
        <is>
          <t>%</t>
        </is>
      </c>
      <c r="F39" s="86" t="inlineStr">
        <is>
          <t>Developer assumption</t>
        </is>
      </c>
      <c r="G39" s="131" t="n"/>
    </row>
    <row r="40">
      <c r="C40" s="101" t="n"/>
      <c r="D40" s="102" t="n"/>
      <c r="E40" s="91" t="n"/>
      <c r="F40" s="91" t="n"/>
      <c r="G40" s="133" t="n"/>
    </row>
    <row r="41" ht="18" customHeight="1" s="534">
      <c r="B41" s="539" t="inlineStr">
        <is>
          <t>BESS Resource Adequacy</t>
        </is>
      </c>
      <c r="C41" s="83" t="inlineStr">
        <is>
          <t>BESS Accredited Capacity</t>
        </is>
      </c>
      <c r="D41" s="84" t="n">
        <v>45</v>
      </c>
      <c r="E41" s="85" t="inlineStr">
        <is>
          <t>MW</t>
        </is>
      </c>
      <c r="F41" s="86" t="inlineStr">
        <is>
          <t>90% of 50 MW nameplate; sensitivity ±20% for accreditation risk</t>
        </is>
      </c>
      <c r="G41" s="131" t="n"/>
    </row>
    <row r="42" ht="18" customHeight="1" s="534">
      <c r="B42" s="537" t="n"/>
      <c r="C42" s="87" t="inlineStr">
        <is>
          <t>RA Price (Year 1)</t>
        </is>
      </c>
      <c r="D42" s="99" t="n">
        <v>6</v>
      </c>
      <c r="E42" s="89" t="inlineStr">
        <is>
          <t>$/kW-month</t>
        </is>
      </c>
      <c r="F42" s="502" t="inlineStr">
        <is>
          <t>CPUC RA proceedings</t>
        </is>
      </c>
      <c r="G42" s="132" t="n"/>
    </row>
    <row r="43" ht="18" customHeight="1" s="534">
      <c r="B43" s="538" t="n"/>
      <c r="C43" s="83" t="inlineStr">
        <is>
          <t>RA Escalator Rate</t>
        </is>
      </c>
      <c r="D43" s="494" t="n">
        <v>0.02</v>
      </c>
      <c r="E43" s="85" t="inlineStr">
        <is>
          <t>% per year</t>
        </is>
      </c>
      <c r="F43" s="86" t="inlineStr">
        <is>
          <t>IRS annual adjustment proxy — 2%</t>
        </is>
      </c>
      <c r="G43" s="131" t="n"/>
    </row>
    <row r="44">
      <c r="C44" s="91" t="n"/>
      <c r="D44" s="103" t="n"/>
      <c r="E44" s="91" t="n"/>
      <c r="F44" s="104" t="n"/>
      <c r="G44" s="133" t="n"/>
    </row>
    <row r="45" ht="18" customHeight="1" s="534">
      <c r="B45" s="539" t="inlineStr">
        <is>
          <t>BESS Ancillary Services</t>
        </is>
      </c>
      <c r="C45" s="83" t="inlineStr">
        <is>
          <t>Ancillary Services Revenue — Year 1</t>
        </is>
      </c>
      <c r="D45" s="100" t="n">
        <v>75</v>
      </c>
      <c r="E45" s="85" t="inlineStr">
        <is>
          <t>$/kW-year</t>
        </is>
      </c>
      <c r="F45" s="86" t="inlineStr">
        <is>
          <t>CAISO market — regulation + FRP</t>
        </is>
      </c>
      <c r="G45" s="131" t="n"/>
    </row>
    <row r="46" ht="18" customHeight="1" s="534">
      <c r="B46" s="537" t="n"/>
      <c r="C46" s="87" t="inlineStr">
        <is>
          <t>Ancillary Services Escalator Rate</t>
        </is>
      </c>
      <c r="D46" s="493" t="n">
        <v>0.015</v>
      </c>
      <c r="E46" s="89" t="inlineStr">
        <is>
          <t>% per year</t>
        </is>
      </c>
      <c r="F46" s="90" t="inlineStr">
        <is>
          <t>Price growth assumption</t>
        </is>
      </c>
      <c r="G46" s="132" t="n"/>
    </row>
    <row r="47" ht="18" customHeight="1" s="534">
      <c r="B47" s="537" t="n"/>
      <c r="C47" s="83" t="inlineStr">
        <is>
          <t>BESS Capacity Allocated to Ancillary Services</t>
        </is>
      </c>
      <c r="D47" s="494" t="n">
        <v>0.3</v>
      </c>
      <c r="E47" s="85" t="inlineStr">
        <is>
          <t>%</t>
        </is>
      </c>
      <c r="F47" s="86" t="inlineStr">
        <is>
          <t>Developer assumption</t>
        </is>
      </c>
      <c r="G47" s="131" t="n"/>
    </row>
    <row r="48" ht="18" customHeight="1" s="534">
      <c r="B48" s="538" t="n"/>
      <c r="C48" s="210" t="inlineStr">
        <is>
          <t>CHECK CAPACITY ALLOCATION</t>
        </is>
      </c>
      <c r="D48" s="495">
        <f>D39+D47</f>
        <v/>
      </c>
      <c r="E48" s="89" t="n"/>
      <c r="F48" s="90" t="inlineStr">
        <is>
          <t>N/A</t>
        </is>
      </c>
      <c r="G48" s="132" t="n"/>
    </row>
    <row r="49">
      <c r="C49" s="91" t="n"/>
      <c r="D49" s="103" t="n"/>
      <c r="E49" s="91" t="n"/>
      <c r="F49" s="104" t="n"/>
    </row>
    <row r="50" ht="19.5" customHeight="1" s="534" thickBot="1">
      <c r="A50" s="81" t="n"/>
      <c r="B50" s="82" t="inlineStr">
        <is>
          <t>Cost Assumptions</t>
        </is>
      </c>
      <c r="C50" s="94" t="n"/>
      <c r="D50" s="105" t="n"/>
      <c r="E50" s="94" t="n"/>
      <c r="F50" s="94" t="n"/>
      <c r="G50" s="81" t="n"/>
    </row>
    <row r="51" ht="18" customHeight="1" s="534">
      <c r="B51" s="540" t="inlineStr">
        <is>
          <t>Capex</t>
        </is>
      </c>
      <c r="C51" s="83" t="inlineStr">
        <is>
          <t>Solar EPC Cost</t>
        </is>
      </c>
      <c r="D51" s="106" t="n">
        <v>0.8</v>
      </c>
      <c r="E51" s="85" t="inlineStr">
        <is>
          <t>$/Wdc</t>
        </is>
      </c>
      <c r="F51" s="86" t="inlineStr">
        <is>
          <t>NREL ATB 2024 — Utility-Scale PV</t>
        </is>
      </c>
      <c r="G51" s="131" t="inlineStr">
        <is>
          <t>NREL ATB 2024 base year is 1.07/Wdc(2022), derived from Ramasamy et al. (2023) bottom-up benchmark. $0.80/Wdc reflects continued module and installation cost declines through 2024. California premium of ~10% over national average assumed for labor and permitting; without this adjustment the national benchmark would support ~$0.72–$0.75/Wdc. Sensitivity range: $0.75–$1.10/Wdc on Sensitivities tab
Note: ATB capex includes grid connection costs (~$0.10/Wdc); this model separates interconnection as a standalone line item ($15M).</t>
        </is>
      </c>
    </row>
    <row r="52" ht="18" customHeight="1" s="534">
      <c r="B52" s="537" t="n"/>
      <c r="C52" s="87" t="inlineStr">
        <is>
          <t>BESS EPC Cost</t>
        </is>
      </c>
      <c r="D52" s="99" t="n">
        <v>230</v>
      </c>
      <c r="E52" s="89" t="inlineStr">
        <is>
          <t>$/kWh</t>
        </is>
      </c>
      <c r="F52" s="90" t="inlineStr">
        <is>
          <t>NREL ATB 2024 — Utility-Scale Battery Storage</t>
        </is>
      </c>
      <c r="G52" s="132" t="inlineStr">
        <is>
          <t>NREL bottom-up model (Cole and Karmakar, 2025) shows $334/kWh as the 2024 starting point for a 4-hour utility-scale system. $230/kWh reflects significant Li-ion cell cost declines through 2024 driven by global manufacturing capacity expansion, consistent with current developer procurement data. NREL's low-cost 2035 projection is $147/kWh, suggesting further decline ahead. Wide uncertainty acknowledged — sensitivity range: $200–$360/kWh on Sensitivities tab.</t>
        </is>
      </c>
    </row>
    <row r="53" ht="18" customHeight="1" s="534">
      <c r="B53" s="537" t="n"/>
      <c r="C53" s="83" t="inlineStr">
        <is>
          <t>Interconnection Cost</t>
        </is>
      </c>
      <c r="D53" s="100" t="n">
        <v>15</v>
      </c>
      <c r="E53" s="85" t="inlineStr">
        <is>
          <t>$M</t>
        </is>
      </c>
      <c r="F53" s="86" t="inlineStr">
        <is>
          <t>Developer assumption — LBNL Queued Up 2024 (wide uncertainty)</t>
        </is>
      </c>
      <c r="G53" s="131" t="inlineStr">
        <is>
          <t>No standard published benchmark. Network upgrade costs are determined by the ISO interconnection study process and can range from near zero to $50M+ for a 100 MWac project depending on location, queue position, and transmission constraints. LBNL Queued Up 2024 documents this variability across CAISO. $15M represents a moderate central estimate. This is the single most uncertain capex line item in the model — sensitivity range: $5M–$40M on Sensitivities tab.</t>
        </is>
      </c>
    </row>
    <row r="54" ht="18" customHeight="1" s="534">
      <c r="B54" s="537" t="n"/>
      <c r="C54" s="87" t="inlineStr">
        <is>
          <t>Development Costs</t>
        </is>
      </c>
      <c r="D54" s="99" t="n">
        <v>5</v>
      </c>
      <c r="E54" s="89" t="inlineStr">
        <is>
          <t>$M</t>
        </is>
      </c>
      <c r="F54" s="90" t="inlineStr">
        <is>
          <t>Developer assumption</t>
        </is>
      </c>
      <c r="G54" s="132" t="n"/>
    </row>
    <row r="55" ht="18" customHeight="1" s="534">
      <c r="B55" s="537" t="n"/>
      <c r="C55" s="83" t="inlineStr">
        <is>
          <t>Owner's Contingency</t>
        </is>
      </c>
      <c r="D55" s="494" t="n">
        <v>0.05</v>
      </c>
      <c r="E55" s="85" t="inlineStr">
        <is>
          <t>% of hard costs</t>
        </is>
      </c>
      <c r="F55" s="86" t="inlineStr">
        <is>
          <t>Industry convention (5-10% of hard costs)</t>
        </is>
      </c>
      <c r="G55" s="131" t="n"/>
    </row>
    <row r="56" ht="18" customHeight="1" s="534">
      <c r="B56" s="538" t="n"/>
      <c r="C56" s="87" t="inlineStr">
        <is>
          <t>Financing Costs</t>
        </is>
      </c>
      <c r="D56" s="99" t="n">
        <v>3</v>
      </c>
      <c r="E56" s="89" t="inlineStr">
        <is>
          <t>$M</t>
        </is>
      </c>
      <c r="F56" s="90" t="inlineStr">
        <is>
          <t>Developer assumption</t>
        </is>
      </c>
      <c r="G56" s="132" t="n"/>
    </row>
    <row r="57">
      <c r="C57" s="107" t="n"/>
      <c r="D57" s="103" t="n"/>
      <c r="E57" s="107" t="n"/>
      <c r="G57" s="133" t="n"/>
    </row>
    <row r="58" ht="18" customHeight="1" s="534">
      <c r="B58" s="541" t="inlineStr">
        <is>
          <t>Opex</t>
        </is>
      </c>
      <c r="C58" s="87" t="inlineStr">
        <is>
          <t>Solar Fixed O&amp;M</t>
        </is>
      </c>
      <c r="D58" s="99" t="n">
        <v>10</v>
      </c>
      <c r="E58" s="89" t="inlineStr">
        <is>
          <t>$/kWac-year</t>
        </is>
      </c>
      <c r="F58" s="90" t="inlineStr">
        <is>
          <t>NREL ATB 2024 — Utility-Scale PV</t>
        </is>
      </c>
      <c r="G58" s="132" t="inlineStr">
        <is>
          <t>NREL ATB 2024 reports $24/kWac-yr as an all-in O&amp;M figure covering maintenance labor, insurance, land lease, asset management, site security, and vegetation management. This model decomposes those costs into separate line items. The $10/kWac covers maintenance labor and component replacement only. Summing all operating cost lines (Solar O&amp;M + BESS O&amp;M + Land + Insurance + Asset Management + CAISO Fees) yields approximately $29/kWac-yr, consistent with the ATB benchmark.</t>
        </is>
      </c>
    </row>
    <row r="59" ht="18" customHeight="1" s="534">
      <c r="B59" s="537" t="n"/>
      <c r="C59" s="83" t="inlineStr">
        <is>
          <t>BESS Fixed O&amp;M</t>
        </is>
      </c>
      <c r="D59" s="100" t="n">
        <v>8</v>
      </c>
      <c r="E59" s="85" t="inlineStr">
        <is>
          <t>$/kWh-year</t>
        </is>
      </c>
      <c r="F59" s="86" t="inlineStr">
        <is>
          <t>NREL ATB 2024 — Utility-Scale Battery Storage</t>
        </is>
      </c>
      <c r="G59" s="131" t="n"/>
    </row>
    <row r="60" ht="18" customHeight="1" s="534">
      <c r="B60" s="537" t="n"/>
      <c r="C60" s="87" t="inlineStr">
        <is>
          <t>Land Lease Rate</t>
        </is>
      </c>
      <c r="D60" s="99" t="n">
        <v>500</v>
      </c>
      <c r="E60" s="89" t="inlineStr">
        <is>
          <t>$/acre-year</t>
        </is>
      </c>
      <c r="F60" s="90" t="inlineStr">
        <is>
          <t>Developer assumption — CA market rate</t>
        </is>
      </c>
      <c r="G60" s="132" t="n"/>
    </row>
    <row r="61" ht="18" customHeight="1" s="534">
      <c r="B61" s="537" t="n"/>
      <c r="C61" s="83" t="inlineStr">
        <is>
          <t>Land Area</t>
        </is>
      </c>
      <c r="D61" s="84" t="n">
        <v>600</v>
      </c>
      <c r="E61" s="85" t="inlineStr">
        <is>
          <t>acres</t>
        </is>
      </c>
      <c r="F61" s="86" t="inlineStr">
        <is>
          <t>Developer assumption</t>
        </is>
      </c>
      <c r="G61" s="131" t="n"/>
    </row>
    <row r="62" ht="18" customHeight="1" s="534">
      <c r="B62" s="537" t="n"/>
      <c r="C62" s="87" t="inlineStr">
        <is>
          <t>Insurance Rate</t>
        </is>
      </c>
      <c r="D62" s="97" t="n">
        <v>0.0025</v>
      </c>
      <c r="E62" s="89" t="inlineStr">
        <is>
          <t>% of Capex/year</t>
        </is>
      </c>
      <c r="F62" s="90" t="inlineStr">
        <is>
          <t>Industry convention (0.20–0.35% of capex)</t>
        </is>
      </c>
      <c r="G62" s="132" t="n"/>
    </row>
    <row r="63" ht="18" customHeight="1" s="534">
      <c r="B63" s="537" t="n"/>
      <c r="C63" s="83" t="inlineStr">
        <is>
          <t>Asset Management Fee</t>
        </is>
      </c>
      <c r="D63" s="100" t="n">
        <v>150</v>
      </c>
      <c r="E63" s="85" t="inlineStr">
        <is>
          <t>$K/year</t>
        </is>
      </c>
      <c r="F63" s="86" t="inlineStr">
        <is>
          <t>Developer assumption</t>
        </is>
      </c>
      <c r="G63" s="131" t="n"/>
    </row>
    <row r="64" ht="18" customHeight="1" s="534">
      <c r="B64" s="537" t="n"/>
      <c r="C64" s="87" t="inlineStr">
        <is>
          <t>Transmission / CAISO Fees</t>
        </is>
      </c>
      <c r="D64" s="99" t="n">
        <v>1</v>
      </c>
      <c r="E64" s="89" t="inlineStr">
        <is>
          <t>$M/year</t>
        </is>
      </c>
      <c r="F64" s="90" t="inlineStr">
        <is>
          <t>Developer assumption — CAISO tariff</t>
        </is>
      </c>
      <c r="G64" s="132" t="n"/>
    </row>
    <row r="65" ht="18" customHeight="1" s="534">
      <c r="B65" s="538" t="n"/>
      <c r="C65" s="83" t="inlineStr">
        <is>
          <t>Opex Escalator Rate</t>
        </is>
      </c>
      <c r="D65" s="494" t="n">
        <v>0.02</v>
      </c>
      <c r="E65" s="85" t="inlineStr">
        <is>
          <t>% per year</t>
        </is>
      </c>
      <c r="F65" s="86" t="inlineStr">
        <is>
          <t>IRS annual adjustment proxy — 2%</t>
        </is>
      </c>
      <c r="G65" s="131" t="n"/>
    </row>
    <row r="66">
      <c r="C66" s="107" t="n"/>
      <c r="D66" s="103" t="n"/>
      <c r="E66" s="107" t="n"/>
    </row>
    <row r="68" ht="19.5" customHeight="1" s="534" thickBot="1">
      <c r="A68" s="81" t="n"/>
      <c r="B68" s="82" t="inlineStr">
        <is>
          <t>Debt Assumptions</t>
        </is>
      </c>
      <c r="C68" s="81" t="n"/>
      <c r="D68" s="81" t="n"/>
      <c r="E68" s="81" t="n"/>
      <c r="F68" s="81" t="n"/>
      <c r="G68" s="81" t="n"/>
    </row>
    <row r="69" ht="18" customHeight="1" s="534">
      <c r="B69" s="138" t="n"/>
      <c r="C69" s="83" t="inlineStr">
        <is>
          <t>Minimum DSCR Covenant</t>
        </is>
      </c>
      <c r="D69" s="84" t="n">
        <v>1.3</v>
      </c>
      <c r="E69" s="85" t="inlineStr">
        <is>
          <t>x</t>
        </is>
      </c>
      <c r="F69" s="86" t="inlineStr">
        <is>
          <t>Market convention — lender requirement</t>
        </is>
      </c>
      <c r="G69" s="131" t="n"/>
    </row>
    <row r="70" ht="18" customHeight="1" s="534">
      <c r="B70" s="137" t="n"/>
      <c r="C70" s="87" t="inlineStr">
        <is>
          <t>Debt Interest Rate</t>
        </is>
      </c>
      <c r="D70" s="496" t="n">
        <v>0.07000000000000001</v>
      </c>
      <c r="E70" s="89" t="inlineStr">
        <is>
          <t>%</t>
        </is>
      </c>
      <c r="F70" s="90" t="inlineStr">
        <is>
          <t>NREL ATB 2024 Financial Cases</t>
        </is>
      </c>
      <c r="G70" s="132" t="inlineStr">
        <is>
          <t>NREL ATB 2024 Financial Cases document a real debt rate of 4.5–5.0% for utility-scale solar. Adding the 2.5% inflation assumption used throughout the ATB gives a nominal equivalent of 7.0–7.5%. Norton Rose Fulbright Tax Equity Market Outlook 2024 confirms median project finance debt rates of approximately 7.0% for contracted utility solar as of 2023–2024. Note: ATB uses real rates for LCOE calculations; this model uses nominal rates throughout for consistency with standard project finance practice.</t>
        </is>
      </c>
    </row>
    <row r="71" ht="18" customHeight="1" s="534">
      <c r="B71" s="138" t="n"/>
      <c r="C71" s="83" t="inlineStr">
        <is>
          <t>Debt Tenor</t>
        </is>
      </c>
      <c r="D71" s="84" t="n">
        <v>18</v>
      </c>
      <c r="E71" s="85" t="inlineStr">
        <is>
          <t>Years</t>
        </is>
      </c>
      <c r="F71" s="86" t="inlineStr">
        <is>
          <t>Industry convention — solar project finance</t>
        </is>
      </c>
      <c r="G71" s="131" t="n"/>
    </row>
    <row r="72" ht="18" customHeight="1" s="534">
      <c r="B72" s="137" t="n"/>
      <c r="C72" s="87" t="inlineStr">
        <is>
          <t>Target Debt Ratio</t>
        </is>
      </c>
      <c r="D72" s="493" t="n">
        <v>0.6</v>
      </c>
      <c r="E72" s="89" t="inlineStr">
        <is>
          <t>%</t>
        </is>
      </c>
      <c r="F72" s="90" t="inlineStr">
        <is>
          <t>Developer assumption — Goal Seek starting point</t>
        </is>
      </c>
      <c r="G72" s="132" t="n"/>
    </row>
    <row r="73" ht="18" customHeight="1" s="534">
      <c r="B73" s="138" t="n"/>
      <c r="C73" s="83" t="inlineStr">
        <is>
          <t>Maximum Leverage</t>
        </is>
      </c>
      <c r="D73" s="494" t="n">
        <v>0.65</v>
      </c>
      <c r="E73" s="85" t="inlineStr">
        <is>
          <t>%</t>
        </is>
      </c>
      <c r="F73" s="86" t="inlineStr">
        <is>
          <t>Market convention — lender hard cap</t>
        </is>
      </c>
      <c r="G73" s="131" t="n"/>
    </row>
    <row r="74">
      <c r="C74" s="107" t="n"/>
      <c r="D74" s="108" t="n"/>
      <c r="E74" s="107" t="n"/>
    </row>
    <row r="75">
      <c r="C75" s="107" t="n"/>
      <c r="D75" s="103" t="n"/>
      <c r="E75" s="107" t="n"/>
    </row>
    <row r="76" ht="19.5" customHeight="1" s="534" thickBot="1">
      <c r="A76" s="81" t="n"/>
      <c r="B76" s="82" t="inlineStr">
        <is>
          <t>Tax Assumptions</t>
        </is>
      </c>
      <c r="C76" s="81" t="n"/>
      <c r="D76" s="105" t="n"/>
      <c r="E76" s="81" t="n"/>
      <c r="F76" s="81" t="n"/>
      <c r="G76" s="81" t="n"/>
    </row>
    <row r="77" ht="18" customHeight="1" s="534">
      <c r="B77" s="140" t="n"/>
      <c r="C77" s="83" t="inlineStr">
        <is>
          <t>PWA Compliance</t>
        </is>
      </c>
      <c r="D77" s="84" t="inlineStr">
        <is>
          <t>YES</t>
        </is>
      </c>
      <c r="E77" s="85" t="inlineStr">
        <is>
          <t>Toggle YES/NO</t>
        </is>
      </c>
      <c r="F77" s="86" t="inlineStr">
        <is>
          <t>IRA Section 48E / 45Y — PWA requirement</t>
        </is>
      </c>
      <c r="G77" s="131" t="inlineStr">
        <is>
          <t>Toggle YES/No - drives credit rate</t>
        </is>
      </c>
    </row>
    <row r="78" ht="18" customHeight="1" s="534">
      <c r="B78" s="141" t="n"/>
      <c r="C78" s="87" t="inlineStr">
        <is>
          <t>Optimal Tax Credit Election</t>
        </is>
      </c>
      <c r="D78" s="88">
        <f>Tax!C54</f>
        <v/>
      </c>
      <c r="E78" s="89" t="n"/>
      <c r="F78" s="90" t="inlineStr">
        <is>
          <t>Model-calculated — see TAX tab Block 4</t>
        </is>
      </c>
      <c r="G78" s="132" t="n"/>
    </row>
    <row r="79" ht="18" customHeight="1" s="534">
      <c r="B79" s="140" t="n"/>
      <c r="C79" s="83" t="inlineStr">
        <is>
          <t>Tax Credit Election</t>
        </is>
      </c>
      <c r="D79" s="84" t="inlineStr">
        <is>
          <t>ITC</t>
        </is>
      </c>
      <c r="E79" s="85" t="n"/>
      <c r="F79" s="86" t="inlineStr">
        <is>
          <t>Override toggle — defaults to model optimal</t>
        </is>
      </c>
      <c r="G79" s="131" t="inlineStr">
        <is>
          <t>TAX tab Block 4 shows PTC is the NPV-optimal election (+$5M total economic value vs. ITC). ITC is elected because PTC credits arrive annually over 10 years rather than at close, which doubles the required equity contribution from $44M to $90M and reduces Equity IRR from 9.52% to 3.69%. ITC is preferred for equity return optimization despite lower total NPV. See TAX tab Block 4 for full comparison including depreciation basis differential. This reflects the post-IRA transferability framework under Section 6418.</t>
        </is>
      </c>
    </row>
    <row r="80" ht="18" customHeight="1" s="534">
      <c r="B80" s="141" t="n"/>
      <c r="C80" s="87" t="inlineStr">
        <is>
          <t>Section 45Y PTC Rate - w/o PWA</t>
        </is>
      </c>
      <c r="D80" s="109">
        <f>0.006*1000</f>
        <v/>
      </c>
      <c r="E80" s="89" t="inlineStr">
        <is>
          <t>$/MWh</t>
        </is>
      </c>
      <c r="F80" s="90" t="inlineStr">
        <is>
          <t>IRA Section 45Y — base rate</t>
        </is>
      </c>
      <c r="G80" s="132" t="n"/>
    </row>
    <row r="81" ht="18" customHeight="1" s="534">
      <c r="B81" s="138" t="n"/>
      <c r="C81" s="83" t="inlineStr">
        <is>
          <t>Section 45Y PTC Rate - w/ PWA</t>
        </is>
      </c>
      <c r="D81" s="106" t="n">
        <v>30</v>
      </c>
      <c r="E81" s="85" t="inlineStr">
        <is>
          <t>$/MWh</t>
        </is>
      </c>
      <c r="F81" s="86" t="inlineStr">
        <is>
          <t>IRA Section 45Y — 5x PWA multiplier</t>
        </is>
      </c>
      <c r="G81" s="131" t="n"/>
    </row>
    <row r="82" ht="18" customHeight="1" s="534">
      <c r="B82" s="137" t="n"/>
      <c r="C82" s="87" t="inlineStr">
        <is>
          <t>PTC Rate Applied</t>
        </is>
      </c>
      <c r="D82" s="109">
        <f>IF(D77="YES",D81,D80)</f>
        <v/>
      </c>
      <c r="E82" s="89" t="inlineStr">
        <is>
          <t>$/MWh</t>
        </is>
      </c>
      <c r="F82" s="90" t="inlineStr">
        <is>
          <t>Derived — see PWA Compliance toggle</t>
        </is>
      </c>
      <c r="G82" s="132" t="n"/>
    </row>
    <row r="83" ht="18" customHeight="1" s="534">
      <c r="B83" s="138" t="n"/>
      <c r="C83" s="83" t="inlineStr">
        <is>
          <t>PTC Transfer Price</t>
        </is>
      </c>
      <c r="D83" s="106" t="n">
        <v>0.925</v>
      </c>
      <c r="E83" s="85" t="inlineStr">
        <is>
          <t>$</t>
        </is>
      </c>
      <c r="F83" s="86" t="inlineStr">
        <is>
          <t>Norton Rose Tax Equity Outlook 2024</t>
        </is>
      </c>
      <c r="G83" s="131" t="n"/>
    </row>
    <row r="84" ht="18" customHeight="1" s="534">
      <c r="B84" s="137" t="n"/>
      <c r="C84" s="87" t="inlineStr">
        <is>
          <t>PTC Inflation Escalator</t>
        </is>
      </c>
      <c r="D84" s="493" t="n">
        <v>0.02</v>
      </c>
      <c r="E84" s="89" t="inlineStr">
        <is>
          <t>%</t>
        </is>
      </c>
      <c r="F84" s="90" t="inlineStr">
        <is>
          <t>IRS annual adjustment proxy — 2%</t>
        </is>
      </c>
      <c r="G84" s="132" t="n"/>
    </row>
    <row r="85" ht="18" customHeight="1" s="534">
      <c r="B85" s="138" t="n"/>
      <c r="C85" s="83" t="inlineStr">
        <is>
          <t>Section 48E ITC Rate - w/o PWA</t>
        </is>
      </c>
      <c r="D85" s="494" t="n">
        <v>0.06</v>
      </c>
      <c r="E85" s="85" t="inlineStr">
        <is>
          <t>%</t>
        </is>
      </c>
      <c r="F85" s="86" t="inlineStr">
        <is>
          <t>IRA Section 48E — base rate</t>
        </is>
      </c>
      <c r="G85" s="131" t="n"/>
    </row>
    <row r="86" ht="18" customHeight="1" s="534">
      <c r="B86" s="137" t="n"/>
      <c r="C86" s="87" t="inlineStr">
        <is>
          <t xml:space="preserve">Section 48E ITC Rate - w/ PWA </t>
        </is>
      </c>
      <c r="D86" s="493" t="n">
        <v>0.3</v>
      </c>
      <c r="E86" s="89" t="inlineStr">
        <is>
          <t>%</t>
        </is>
      </c>
      <c r="F86" s="90" t="inlineStr">
        <is>
          <t>IRA Section 48E — 5x PWA multiplier</t>
        </is>
      </c>
      <c r="G86" s="132" t="n"/>
    </row>
    <row r="87" ht="18" customHeight="1" s="534">
      <c r="B87" s="138" t="n"/>
      <c r="C87" s="83" t="inlineStr">
        <is>
          <t>ITC Rate Applied</t>
        </is>
      </c>
      <c r="D87" s="494">
        <f>IF(D77="YES",D86,D85)</f>
        <v/>
      </c>
      <c r="E87" s="85" t="inlineStr">
        <is>
          <t>%</t>
        </is>
      </c>
      <c r="F87" s="86" t="inlineStr">
        <is>
          <t>Derived — see PWA Compliance toggle</t>
        </is>
      </c>
      <c r="G87" s="131" t="n"/>
    </row>
    <row r="88" ht="18" customHeight="1" s="534">
      <c r="B88" s="137" t="n"/>
      <c r="C88" s="87" t="inlineStr">
        <is>
          <t>ITC Transfer Price</t>
        </is>
      </c>
      <c r="D88" s="109" t="n">
        <v>0.925</v>
      </c>
      <c r="E88" s="89" t="inlineStr">
        <is>
          <t>$</t>
        </is>
      </c>
      <c r="F88" s="90" t="inlineStr">
        <is>
          <t>Norton Rose Tax Equity Outlook 2024</t>
        </is>
      </c>
      <c r="G88" s="132" t="n"/>
    </row>
    <row r="89" ht="18" customHeight="1" s="534">
      <c r="B89" s="138" t="n"/>
      <c r="C89" s="83" t="inlineStr">
        <is>
          <t>Corporate Tax Rate</t>
        </is>
      </c>
      <c r="D89" s="494" t="n">
        <v>0.21</v>
      </c>
      <c r="E89" s="85" t="inlineStr">
        <is>
          <t>%</t>
        </is>
      </c>
      <c r="F89" s="86" t="inlineStr">
        <is>
          <t>Tax Cuts and Jobs Act 2017</t>
        </is>
      </c>
      <c r="G89" s="131" t="n"/>
    </row>
    <row r="90" ht="18" customHeight="1" s="534">
      <c r="B90" s="138" t="n"/>
      <c r="C90" s="83" t="inlineStr">
        <is>
          <t>Net Operating Loss (NOL) Deduction Cap</t>
        </is>
      </c>
      <c r="D90" s="494" t="n">
        <v>0.8</v>
      </c>
      <c r="E90" s="85" t="inlineStr">
        <is>
          <t>%</t>
        </is>
      </c>
      <c r="F90" s="86" t="inlineStr">
        <is>
          <t>§172</t>
        </is>
      </c>
      <c r="G90" s="131" t="n"/>
    </row>
    <row r="91" ht="18" customHeight="1" s="534">
      <c r="B91" s="137" t="n"/>
      <c r="C91" s="87" t="inlineStr">
        <is>
          <t>MACRS Schedule</t>
        </is>
      </c>
      <c r="D91" s="88" t="n">
        <v>5</v>
      </c>
      <c r="E91" s="89" t="inlineStr">
        <is>
          <t>Years</t>
        </is>
      </c>
      <c r="F91" s="90" t="inlineStr">
        <is>
          <t>IRS Publication 946 — 5-year property</t>
        </is>
      </c>
      <c r="G91" s="132" t="n"/>
    </row>
    <row r="92" ht="18" customHeight="1" s="534">
      <c r="B92" s="138" t="n"/>
      <c r="C92" s="83" t="inlineStr">
        <is>
          <t>MACRS Year 1</t>
        </is>
      </c>
      <c r="D92" s="494" t="n">
        <v>0.2</v>
      </c>
      <c r="E92" s="85" t="inlineStr">
        <is>
          <t>%</t>
        </is>
      </c>
      <c r="F92" s="86" t="inlineStr">
        <is>
          <t>IRS Publication 946 — half-year convention</t>
        </is>
      </c>
      <c r="G92" s="131" t="n"/>
    </row>
    <row r="93" ht="18" customHeight="1" s="534">
      <c r="B93" s="137" t="n"/>
      <c r="C93" s="87" t="inlineStr">
        <is>
          <t>MACRS Year 2</t>
        </is>
      </c>
      <c r="D93" s="493" t="n">
        <v>0.32</v>
      </c>
      <c r="E93" s="89" t="inlineStr">
        <is>
          <t>%</t>
        </is>
      </c>
      <c r="F93" s="90" t="inlineStr">
        <is>
          <t>IRS Publication 946 — half-year convention</t>
        </is>
      </c>
      <c r="G93" s="132" t="n"/>
    </row>
    <row r="94" ht="18" customHeight="1" s="534">
      <c r="B94" s="138" t="n"/>
      <c r="C94" s="83" t="inlineStr">
        <is>
          <t>MACRS Year 3</t>
        </is>
      </c>
      <c r="D94" s="494" t="n">
        <v>0.192</v>
      </c>
      <c r="E94" s="85" t="inlineStr">
        <is>
          <t>%</t>
        </is>
      </c>
      <c r="F94" s="86" t="inlineStr">
        <is>
          <t>IRS Publication 946 — half-year convention</t>
        </is>
      </c>
      <c r="G94" s="131" t="n"/>
    </row>
    <row r="95" ht="18" customHeight="1" s="534">
      <c r="B95" s="137" t="n"/>
      <c r="C95" s="87" t="inlineStr">
        <is>
          <t>MACRS Year 4</t>
        </is>
      </c>
      <c r="D95" s="493" t="n">
        <v>0.1152</v>
      </c>
      <c r="E95" s="89" t="inlineStr">
        <is>
          <t>%</t>
        </is>
      </c>
      <c r="F95" s="90" t="inlineStr">
        <is>
          <t>IRS Publication 946 — half-year convention</t>
        </is>
      </c>
      <c r="G95" s="132" t="n"/>
    </row>
    <row r="96" ht="18" customHeight="1" s="534">
      <c r="B96" s="138" t="n"/>
      <c r="C96" s="83" t="inlineStr">
        <is>
          <t>MACRS Year 5</t>
        </is>
      </c>
      <c r="D96" s="494" t="n">
        <v>0.1152</v>
      </c>
      <c r="E96" s="85" t="inlineStr">
        <is>
          <t>%</t>
        </is>
      </c>
      <c r="F96" s="86" t="inlineStr">
        <is>
          <t>IRS Publication 946 — half-year convention</t>
        </is>
      </c>
      <c r="G96" s="131" t="n"/>
    </row>
    <row r="97" ht="18" customHeight="1" s="534">
      <c r="B97" s="137" t="n"/>
      <c r="C97" s="87" t="inlineStr">
        <is>
          <t>MACRS Year 6</t>
        </is>
      </c>
      <c r="D97" s="493">
        <f>5.67%+0.09%</f>
        <v/>
      </c>
      <c r="E97" s="89" t="inlineStr">
        <is>
          <t>%</t>
        </is>
      </c>
      <c r="F97" s="90" t="inlineStr">
        <is>
          <t>IRS Publication 946 — half-year convention</t>
        </is>
      </c>
      <c r="G97" s="132" t="n"/>
    </row>
    <row r="98" ht="18" customHeight="1" s="534">
      <c r="B98" s="138" t="n"/>
      <c r="C98" s="179" t="inlineStr">
        <is>
          <t>MACRS Check</t>
        </is>
      </c>
      <c r="D98" s="495">
        <f>SUM(D92:D97)</f>
        <v/>
      </c>
      <c r="E98" s="85" t="inlineStr">
        <is>
          <t>%</t>
        </is>
      </c>
      <c r="F98" s="86" t="inlineStr">
        <is>
          <t>N/A</t>
        </is>
      </c>
      <c r="G98" s="131" t="n"/>
    </row>
    <row r="100" ht="19.5" customHeight="1" s="534" thickBot="1">
      <c r="A100" s="81" t="n"/>
      <c r="B100" s="82" t="inlineStr">
        <is>
          <t>Discount Rate / Returns Assumptions</t>
        </is>
      </c>
      <c r="C100" s="81" t="n"/>
      <c r="D100" s="105" t="n"/>
      <c r="E100" s="81" t="n"/>
      <c r="F100" s="81" t="n"/>
      <c r="G100" s="81" t="n"/>
    </row>
    <row r="101" ht="18" customHeight="1" s="534">
      <c r="B101" s="137" t="n"/>
      <c r="C101" s="87" t="inlineStr">
        <is>
          <t>Project Discount Rate (LCOE)</t>
        </is>
      </c>
      <c r="D101" s="493" t="n">
        <v>0.07000000000000001</v>
      </c>
      <c r="E101" s="89" t="inlineStr">
        <is>
          <t>%</t>
        </is>
      </c>
      <c r="F101" s="90" t="inlineStr">
        <is>
          <t>NREL ATB 2024 Financial Cases</t>
        </is>
      </c>
      <c r="G101" s="132" t="n"/>
    </row>
    <row r="102" ht="18" customHeight="1" s="534">
      <c r="B102" s="138" t="n"/>
      <c r="C102" s="83" t="inlineStr">
        <is>
          <t>Target Equity IRR</t>
        </is>
      </c>
      <c r="D102" s="494" t="n">
        <v>0.12</v>
      </c>
      <c r="E102" s="85" t="inlineStr">
        <is>
          <t>%</t>
        </is>
      </c>
      <c r="F102" s="86" t="inlineStr">
        <is>
          <t>Developer return threshold — industry convention</t>
        </is>
      </c>
      <c r="G102" s="131" t="n"/>
    </row>
  </sheetData>
  <mergeCells count="7">
    <mergeCell ref="B51:B56"/>
    <mergeCell ref="A1:G1"/>
    <mergeCell ref="B30:B33"/>
    <mergeCell ref="B41:B43"/>
    <mergeCell ref="B45:B48"/>
    <mergeCell ref="B58:B65"/>
    <mergeCell ref="B35:B39"/>
  </mergeCells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>
  <sheetPr>
    <tabColor rgb="FF375623"/>
    <outlinePr summaryBelow="1" summaryRight="1"/>
    <pageSetUpPr/>
  </sheetPr>
  <dimension ref="A1:AE19"/>
  <sheetViews>
    <sheetView showGridLines="0"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25" sqref="B25"/>
    </sheetView>
  </sheetViews>
  <sheetFormatPr baseColWidth="8" defaultColWidth="8.7265625" defaultRowHeight="14.5"/>
  <cols>
    <col width="48.81640625" bestFit="1" customWidth="1" style="534" min="1" max="1"/>
    <col width="14" bestFit="1" customWidth="1" style="534" min="2" max="31"/>
  </cols>
  <sheetData>
    <row r="1" ht="27.75" customHeight="1" s="534" thickBot="1">
      <c r="A1" s="512" t="inlineStr">
        <is>
          <t>ENERGY  —  Annual Production Schedule  ·  Solar Loss Waterfall + BESS Dispatch  ·  Years 1–30</t>
        </is>
      </c>
      <c r="B1" s="535" t="n"/>
      <c r="C1" s="535" t="n"/>
      <c r="D1" s="535" t="n"/>
      <c r="E1" s="535" t="n"/>
      <c r="F1" s="535" t="n"/>
      <c r="G1" s="535" t="n"/>
      <c r="H1" s="535" t="n"/>
      <c r="I1" s="535" t="n"/>
      <c r="J1" s="535" t="n"/>
      <c r="K1" s="535" t="n"/>
      <c r="L1" s="535" t="n"/>
      <c r="M1" s="535" t="n"/>
      <c r="N1" s="535" t="n"/>
      <c r="O1" s="535" t="n"/>
      <c r="P1" s="535" t="n"/>
      <c r="Q1" s="535" t="n"/>
      <c r="R1" s="535" t="n"/>
      <c r="S1" s="535" t="n"/>
      <c r="T1" s="535" t="n"/>
      <c r="U1" s="535" t="n"/>
      <c r="V1" s="535" t="n"/>
      <c r="W1" s="535" t="n"/>
      <c r="X1" s="535" t="n"/>
      <c r="Y1" s="535" t="n"/>
      <c r="Z1" s="535" t="n"/>
      <c r="AA1" s="535" t="n"/>
      <c r="AB1" s="535" t="n"/>
      <c r="AC1" s="535" t="n"/>
      <c r="AD1" s="535" t="n"/>
      <c r="AE1" s="535" t="n"/>
    </row>
    <row r="2" ht="16.5" customHeight="1" s="534" thickBot="1">
      <c r="A2" s="290" t="inlineStr">
        <is>
          <t>Year N Production</t>
        </is>
      </c>
      <c r="B2" s="290" t="n">
        <v>1</v>
      </c>
      <c r="C2" s="290" t="n">
        <v>2</v>
      </c>
      <c r="D2" s="290" t="n">
        <v>3</v>
      </c>
      <c r="E2" s="290" t="n">
        <v>4</v>
      </c>
      <c r="F2" s="290" t="n">
        <v>5</v>
      </c>
      <c r="G2" s="290" t="n">
        <v>6</v>
      </c>
      <c r="H2" s="290" t="n">
        <v>7</v>
      </c>
      <c r="I2" s="290" t="n">
        <v>8</v>
      </c>
      <c r="J2" s="290" t="n">
        <v>9</v>
      </c>
      <c r="K2" s="290" t="n">
        <v>10</v>
      </c>
      <c r="L2" s="290" t="n">
        <v>11</v>
      </c>
      <c r="M2" s="290" t="n">
        <v>12</v>
      </c>
      <c r="N2" s="290" t="n">
        <v>13</v>
      </c>
      <c r="O2" s="290" t="n">
        <v>14</v>
      </c>
      <c r="P2" s="290" t="n">
        <v>15</v>
      </c>
      <c r="Q2" s="290" t="n">
        <v>16</v>
      </c>
      <c r="R2" s="290" t="n">
        <v>17</v>
      </c>
      <c r="S2" s="290" t="n">
        <v>18</v>
      </c>
      <c r="T2" s="290" t="n">
        <v>19</v>
      </c>
      <c r="U2" s="290" t="n">
        <v>20</v>
      </c>
      <c r="V2" s="290" t="n">
        <v>21</v>
      </c>
      <c r="W2" s="290" t="n">
        <v>22</v>
      </c>
      <c r="X2" s="290" t="n">
        <v>23</v>
      </c>
      <c r="Y2" s="290" t="n">
        <v>24</v>
      </c>
      <c r="Z2" s="290" t="n">
        <v>25</v>
      </c>
      <c r="AA2" s="290" t="n">
        <v>26</v>
      </c>
      <c r="AB2" s="290" t="n">
        <v>27</v>
      </c>
      <c r="AC2" s="290" t="n">
        <v>28</v>
      </c>
      <c r="AD2" s="290" t="n">
        <v>29</v>
      </c>
      <c r="AE2" s="290" t="n">
        <v>30</v>
      </c>
    </row>
    <row r="3" ht="16.5" customHeight="1" s="534">
      <c r="A3" s="251" t="inlineStr">
        <is>
          <t>Gross Solar Production (MWh) - Pre-Degradation</t>
        </is>
      </c>
      <c r="B3" s="542">
        <f>Inputs!$D$11*Inputs!$D$13*Inputs!$D$18</f>
        <v/>
      </c>
      <c r="C3" s="543">
        <f>Inputs!$D$11*Inputs!$D$13*Inputs!$D$18</f>
        <v/>
      </c>
      <c r="D3" s="543">
        <f>Inputs!$D$11*Inputs!$D$13*Inputs!$D$18</f>
        <v/>
      </c>
      <c r="E3" s="543">
        <f>Inputs!$D$11*Inputs!$D$13*Inputs!$D$18</f>
        <v/>
      </c>
      <c r="F3" s="543">
        <f>Inputs!$D$11*Inputs!$D$13*Inputs!$D$18</f>
        <v/>
      </c>
      <c r="G3" s="543">
        <f>Inputs!$D$11*Inputs!$D$13*Inputs!$D$18</f>
        <v/>
      </c>
      <c r="H3" s="543">
        <f>Inputs!$D$11*Inputs!$D$13*Inputs!$D$18</f>
        <v/>
      </c>
      <c r="I3" s="543">
        <f>Inputs!$D$11*Inputs!$D$13*Inputs!$D$18</f>
        <v/>
      </c>
      <c r="J3" s="543">
        <f>Inputs!$D$11*Inputs!$D$13*Inputs!$D$18</f>
        <v/>
      </c>
      <c r="K3" s="543">
        <f>Inputs!$D$11*Inputs!$D$13*Inputs!$D$18</f>
        <v/>
      </c>
      <c r="L3" s="543">
        <f>Inputs!$D$11*Inputs!$D$13*Inputs!$D$18</f>
        <v/>
      </c>
      <c r="M3" s="543">
        <f>Inputs!$D$11*Inputs!$D$13*Inputs!$D$18</f>
        <v/>
      </c>
      <c r="N3" s="543">
        <f>Inputs!$D$11*Inputs!$D$13*Inputs!$D$18</f>
        <v/>
      </c>
      <c r="O3" s="543">
        <f>Inputs!$D$11*Inputs!$D$13*Inputs!$D$18</f>
        <v/>
      </c>
      <c r="P3" s="543">
        <f>Inputs!$D$11*Inputs!$D$13*Inputs!$D$18</f>
        <v/>
      </c>
      <c r="Q3" s="543">
        <f>Inputs!$D$11*Inputs!$D$13*Inputs!$D$18</f>
        <v/>
      </c>
      <c r="R3" s="543">
        <f>Inputs!$D$11*Inputs!$D$13*Inputs!$D$18</f>
        <v/>
      </c>
      <c r="S3" s="543">
        <f>Inputs!$D$11*Inputs!$D$13*Inputs!$D$18</f>
        <v/>
      </c>
      <c r="T3" s="543">
        <f>Inputs!$D$11*Inputs!$D$13*Inputs!$D$18</f>
        <v/>
      </c>
      <c r="U3" s="543">
        <f>Inputs!$D$11*Inputs!$D$13*Inputs!$D$18</f>
        <v/>
      </c>
      <c r="V3" s="543">
        <f>Inputs!$D$11*Inputs!$D$13*Inputs!$D$18</f>
        <v/>
      </c>
      <c r="W3" s="543">
        <f>Inputs!$D$11*Inputs!$D$13*Inputs!$D$18</f>
        <v/>
      </c>
      <c r="X3" s="543">
        <f>Inputs!$D$11*Inputs!$D$13*Inputs!$D$18</f>
        <v/>
      </c>
      <c r="Y3" s="543">
        <f>Inputs!$D$11*Inputs!$D$13*Inputs!$D$18</f>
        <v/>
      </c>
      <c r="Z3" s="543">
        <f>Inputs!$D$11*Inputs!$D$13*Inputs!$D$18</f>
        <v/>
      </c>
      <c r="AA3" s="543">
        <f>Inputs!$D$11*Inputs!$D$13*Inputs!$D$18</f>
        <v/>
      </c>
      <c r="AB3" s="543">
        <f>Inputs!$D$11*Inputs!$D$13*Inputs!$D$18</f>
        <v/>
      </c>
      <c r="AC3" s="543">
        <f>Inputs!$D$11*Inputs!$D$13*Inputs!$D$18</f>
        <v/>
      </c>
      <c r="AD3" s="543">
        <f>Inputs!$D$11*Inputs!$D$13*Inputs!$D$18</f>
        <v/>
      </c>
      <c r="AE3" s="543">
        <f>Inputs!$D$11*Inputs!$D$13*Inputs!$D$18</f>
        <v/>
      </c>
    </row>
    <row r="4" ht="16.5" customHeight="1" s="534">
      <c r="A4" s="253" t="inlineStr">
        <is>
          <t>PV Degradation Factor (Year N)</t>
        </is>
      </c>
      <c r="B4" s="544">
        <f>(1-Inputs!$D$15)^(B2-1)</f>
        <v/>
      </c>
      <c r="C4" s="545">
        <f>(1-Inputs!$D$15)^(C2-1)</f>
        <v/>
      </c>
      <c r="D4" s="545">
        <f>(1-Inputs!$D$15)^(D2-1)</f>
        <v/>
      </c>
      <c r="E4" s="545">
        <f>(1-Inputs!$D$15)^(E2-1)</f>
        <v/>
      </c>
      <c r="F4" s="545">
        <f>(1-Inputs!$D$15)^(F2-1)</f>
        <v/>
      </c>
      <c r="G4" s="545">
        <f>(1-Inputs!$D$15)^(G2-1)</f>
        <v/>
      </c>
      <c r="H4" s="545">
        <f>(1-Inputs!$D$15)^(H2-1)</f>
        <v/>
      </c>
      <c r="I4" s="545">
        <f>(1-Inputs!$D$15)^(I2-1)</f>
        <v/>
      </c>
      <c r="J4" s="545">
        <f>(1-Inputs!$D$15)^(J2-1)</f>
        <v/>
      </c>
      <c r="K4" s="545">
        <f>(1-Inputs!$D$15)^(K2-1)</f>
        <v/>
      </c>
      <c r="L4" s="545">
        <f>(1-Inputs!$D$15)^(L2-1)</f>
        <v/>
      </c>
      <c r="M4" s="545">
        <f>(1-Inputs!$D$15)^(M2-1)</f>
        <v/>
      </c>
      <c r="N4" s="545">
        <f>(1-Inputs!$D$15)^(N2-1)</f>
        <v/>
      </c>
      <c r="O4" s="545">
        <f>(1-Inputs!$D$15)^(O2-1)</f>
        <v/>
      </c>
      <c r="P4" s="545">
        <f>(1-Inputs!$D$15)^(P2-1)</f>
        <v/>
      </c>
      <c r="Q4" s="545">
        <f>(1-Inputs!$D$15)^(Q2-1)</f>
        <v/>
      </c>
      <c r="R4" s="545">
        <f>(1-Inputs!$D$15)^(R2-1)</f>
        <v/>
      </c>
      <c r="S4" s="545">
        <f>(1-Inputs!$D$15)^(S2-1)</f>
        <v/>
      </c>
      <c r="T4" s="545">
        <f>(1-Inputs!$D$15)^(T2-1)</f>
        <v/>
      </c>
      <c r="U4" s="545">
        <f>(1-Inputs!$D$15)^(U2-1)</f>
        <v/>
      </c>
      <c r="V4" s="545">
        <f>(1-Inputs!$D$15)^(V2-1)</f>
        <v/>
      </c>
      <c r="W4" s="545">
        <f>(1-Inputs!$D$15)^(W2-1)</f>
        <v/>
      </c>
      <c r="X4" s="545">
        <f>(1-Inputs!$D$15)^(X2-1)</f>
        <v/>
      </c>
      <c r="Y4" s="545">
        <f>(1-Inputs!$D$15)^(Y2-1)</f>
        <v/>
      </c>
      <c r="Z4" s="545">
        <f>(1-Inputs!$D$15)^(Z2-1)</f>
        <v/>
      </c>
      <c r="AA4" s="545">
        <f>(1-Inputs!$D$15)^(AA2-1)</f>
        <v/>
      </c>
      <c r="AB4" s="545">
        <f>(1-Inputs!$D$15)^(AB2-1)</f>
        <v/>
      </c>
      <c r="AC4" s="545">
        <f>(1-Inputs!$D$15)^(AC2-1)</f>
        <v/>
      </c>
      <c r="AD4" s="545">
        <f>(1-Inputs!$D$15)^(AD2-1)</f>
        <v/>
      </c>
      <c r="AE4" s="545">
        <f>(1-Inputs!$D$15)^(AE2-1)</f>
        <v/>
      </c>
    </row>
    <row r="5" ht="16.5" customHeight="1" s="534">
      <c r="A5" s="251" t="inlineStr">
        <is>
          <t>Gross Solar Production (MWh) - Post-Degradation</t>
        </is>
      </c>
      <c r="B5" s="542">
        <f>B3*B4</f>
        <v/>
      </c>
      <c r="C5" s="543">
        <f>C3*C4</f>
        <v/>
      </c>
      <c r="D5" s="543">
        <f>D3*D4</f>
        <v/>
      </c>
      <c r="E5" s="543">
        <f>E3*E4</f>
        <v/>
      </c>
      <c r="F5" s="543">
        <f>F3*F4</f>
        <v/>
      </c>
      <c r="G5" s="543">
        <f>G3*G4</f>
        <v/>
      </c>
      <c r="H5" s="543">
        <f>H3*H4</f>
        <v/>
      </c>
      <c r="I5" s="543">
        <f>I3*I4</f>
        <v/>
      </c>
      <c r="J5" s="543">
        <f>J3*J4</f>
        <v/>
      </c>
      <c r="K5" s="543">
        <f>K3*K4</f>
        <v/>
      </c>
      <c r="L5" s="543">
        <f>L3*L4</f>
        <v/>
      </c>
      <c r="M5" s="543">
        <f>M3*M4</f>
        <v/>
      </c>
      <c r="N5" s="543">
        <f>N3*N4</f>
        <v/>
      </c>
      <c r="O5" s="543">
        <f>O3*O4</f>
        <v/>
      </c>
      <c r="P5" s="543">
        <f>P3*P4</f>
        <v/>
      </c>
      <c r="Q5" s="543">
        <f>Q3*Q4</f>
        <v/>
      </c>
      <c r="R5" s="543">
        <f>R3*R4</f>
        <v/>
      </c>
      <c r="S5" s="543">
        <f>S3*S4</f>
        <v/>
      </c>
      <c r="T5" s="543">
        <f>T3*T4</f>
        <v/>
      </c>
      <c r="U5" s="543">
        <f>U3*U4</f>
        <v/>
      </c>
      <c r="V5" s="543">
        <f>V3*V4</f>
        <v/>
      </c>
      <c r="W5" s="543">
        <f>W3*W4</f>
        <v/>
      </c>
      <c r="X5" s="543">
        <f>X3*X4</f>
        <v/>
      </c>
      <c r="Y5" s="543">
        <f>Y3*Y4</f>
        <v/>
      </c>
      <c r="Z5" s="543">
        <f>Z3*Z4</f>
        <v/>
      </c>
      <c r="AA5" s="543">
        <f>AA3*AA4</f>
        <v/>
      </c>
      <c r="AB5" s="543">
        <f>AB3*AB4</f>
        <v/>
      </c>
      <c r="AC5" s="543">
        <f>AC3*AC4</f>
        <v/>
      </c>
      <c r="AD5" s="543">
        <f>AD3*AD4</f>
        <v/>
      </c>
      <c r="AE5" s="543">
        <f>AE3*AE4</f>
        <v/>
      </c>
    </row>
    <row r="6" ht="16.5" customHeight="1" s="534">
      <c r="A6" s="253" t="inlineStr">
        <is>
          <t>Availability Loss (MWh)</t>
        </is>
      </c>
      <c r="B6" s="544">
        <f>B5*Inputs!$D$16</f>
        <v/>
      </c>
      <c r="C6" s="545">
        <f>C5*Inputs!$D$16</f>
        <v/>
      </c>
      <c r="D6" s="545">
        <f>D5*Inputs!$D$16</f>
        <v/>
      </c>
      <c r="E6" s="545">
        <f>E5*Inputs!$D$16</f>
        <v/>
      </c>
      <c r="F6" s="545">
        <f>F5*Inputs!$D$16</f>
        <v/>
      </c>
      <c r="G6" s="545">
        <f>G5*Inputs!$D$16</f>
        <v/>
      </c>
      <c r="H6" s="545">
        <f>H5*Inputs!$D$16</f>
        <v/>
      </c>
      <c r="I6" s="545">
        <f>I5*Inputs!$D$16</f>
        <v/>
      </c>
      <c r="J6" s="545">
        <f>J5*Inputs!$D$16</f>
        <v/>
      </c>
      <c r="K6" s="545">
        <f>K5*Inputs!$D$16</f>
        <v/>
      </c>
      <c r="L6" s="545">
        <f>L5*Inputs!$D$16</f>
        <v/>
      </c>
      <c r="M6" s="545">
        <f>M5*Inputs!$D$16</f>
        <v/>
      </c>
      <c r="N6" s="545">
        <f>N5*Inputs!$D$16</f>
        <v/>
      </c>
      <c r="O6" s="545">
        <f>O5*Inputs!$D$16</f>
        <v/>
      </c>
      <c r="P6" s="545">
        <f>P5*Inputs!$D$16</f>
        <v/>
      </c>
      <c r="Q6" s="545">
        <f>Q5*Inputs!$D$16</f>
        <v/>
      </c>
      <c r="R6" s="545">
        <f>R5*Inputs!$D$16</f>
        <v/>
      </c>
      <c r="S6" s="545">
        <f>S5*Inputs!$D$16</f>
        <v/>
      </c>
      <c r="T6" s="545">
        <f>T5*Inputs!$D$16</f>
        <v/>
      </c>
      <c r="U6" s="545">
        <f>U5*Inputs!$D$16</f>
        <v/>
      </c>
      <c r="V6" s="545">
        <f>V5*Inputs!$D$16</f>
        <v/>
      </c>
      <c r="W6" s="545">
        <f>W5*Inputs!$D$16</f>
        <v/>
      </c>
      <c r="X6" s="545">
        <f>X5*Inputs!$D$16</f>
        <v/>
      </c>
      <c r="Y6" s="545">
        <f>Y5*Inputs!$D$16</f>
        <v/>
      </c>
      <c r="Z6" s="545">
        <f>Z5*Inputs!$D$16</f>
        <v/>
      </c>
      <c r="AA6" s="545">
        <f>AA5*Inputs!$D$16</f>
        <v/>
      </c>
      <c r="AB6" s="545">
        <f>AB5*Inputs!$D$16</f>
        <v/>
      </c>
      <c r="AC6" s="545">
        <f>AC5*Inputs!$D$16</f>
        <v/>
      </c>
      <c r="AD6" s="545">
        <f>AD5*Inputs!$D$16</f>
        <v/>
      </c>
      <c r="AE6" s="545">
        <f>AE5*Inputs!$D$16</f>
        <v/>
      </c>
    </row>
    <row r="7" ht="16.5" customHeight="1" s="534">
      <c r="A7" s="251" t="inlineStr">
        <is>
          <t>Production After Availability</t>
        </is>
      </c>
      <c r="B7" s="542">
        <f>B5-B6</f>
        <v/>
      </c>
      <c r="C7" s="543">
        <f>C5-C6</f>
        <v/>
      </c>
      <c r="D7" s="543">
        <f>D5-D6</f>
        <v/>
      </c>
      <c r="E7" s="543">
        <f>E5-E6</f>
        <v/>
      </c>
      <c r="F7" s="543">
        <f>F5-F6</f>
        <v/>
      </c>
      <c r="G7" s="543">
        <f>G5-G6</f>
        <v/>
      </c>
      <c r="H7" s="543">
        <f>H5-H6</f>
        <v/>
      </c>
      <c r="I7" s="543">
        <f>I5-I6</f>
        <v/>
      </c>
      <c r="J7" s="543">
        <f>J5-J6</f>
        <v/>
      </c>
      <c r="K7" s="543">
        <f>K5-K6</f>
        <v/>
      </c>
      <c r="L7" s="543">
        <f>L5-L6</f>
        <v/>
      </c>
      <c r="M7" s="543">
        <f>M5-M6</f>
        <v/>
      </c>
      <c r="N7" s="543">
        <f>N5-N6</f>
        <v/>
      </c>
      <c r="O7" s="543">
        <f>O5-O6</f>
        <v/>
      </c>
      <c r="P7" s="543">
        <f>P5-P6</f>
        <v/>
      </c>
      <c r="Q7" s="543">
        <f>Q5-Q6</f>
        <v/>
      </c>
      <c r="R7" s="543">
        <f>R5-R6</f>
        <v/>
      </c>
      <c r="S7" s="543">
        <f>S5-S6</f>
        <v/>
      </c>
      <c r="T7" s="543">
        <f>T5-T6</f>
        <v/>
      </c>
      <c r="U7" s="543">
        <f>U5-U6</f>
        <v/>
      </c>
      <c r="V7" s="543">
        <f>V5-V6</f>
        <v/>
      </c>
      <c r="W7" s="543">
        <f>W5-W6</f>
        <v/>
      </c>
      <c r="X7" s="543">
        <f>X5-X6</f>
        <v/>
      </c>
      <c r="Y7" s="543">
        <f>Y5-Y6</f>
        <v/>
      </c>
      <c r="Z7" s="543">
        <f>Z5-Z6</f>
        <v/>
      </c>
      <c r="AA7" s="543">
        <f>AA5-AA6</f>
        <v/>
      </c>
      <c r="AB7" s="543">
        <f>AB5-AB6</f>
        <v/>
      </c>
      <c r="AC7" s="543">
        <f>AC5-AC6</f>
        <v/>
      </c>
      <c r="AD7" s="543">
        <f>AD5-AD6</f>
        <v/>
      </c>
      <c r="AE7" s="543">
        <f>AE5-AE6</f>
        <v/>
      </c>
    </row>
    <row r="8" ht="16.5" customHeight="1" s="534">
      <c r="A8" s="253" t="inlineStr">
        <is>
          <t>Curtailment Loss (MWh)</t>
        </is>
      </c>
      <c r="B8" s="544">
        <f>B7*Inputs!$D$17</f>
        <v/>
      </c>
      <c r="C8" s="545">
        <f>C7*Inputs!$D$17</f>
        <v/>
      </c>
      <c r="D8" s="545">
        <f>D7*Inputs!$D$17</f>
        <v/>
      </c>
      <c r="E8" s="545">
        <f>E7*Inputs!$D$17</f>
        <v/>
      </c>
      <c r="F8" s="545">
        <f>F7*Inputs!$D$17</f>
        <v/>
      </c>
      <c r="G8" s="545">
        <f>G7*Inputs!$D$17</f>
        <v/>
      </c>
      <c r="H8" s="545">
        <f>H7*Inputs!$D$17</f>
        <v/>
      </c>
      <c r="I8" s="545">
        <f>I7*Inputs!$D$17</f>
        <v/>
      </c>
      <c r="J8" s="545">
        <f>J7*Inputs!$D$17</f>
        <v/>
      </c>
      <c r="K8" s="545">
        <f>K7*Inputs!$D$17</f>
        <v/>
      </c>
      <c r="L8" s="545">
        <f>L7*Inputs!$D$17</f>
        <v/>
      </c>
      <c r="M8" s="545">
        <f>M7*Inputs!$D$17</f>
        <v/>
      </c>
      <c r="N8" s="545">
        <f>N7*Inputs!$D$17</f>
        <v/>
      </c>
      <c r="O8" s="545">
        <f>O7*Inputs!$D$17</f>
        <v/>
      </c>
      <c r="P8" s="545">
        <f>P7*Inputs!$D$17</f>
        <v/>
      </c>
      <c r="Q8" s="545">
        <f>Q7*Inputs!$D$17</f>
        <v/>
      </c>
      <c r="R8" s="545">
        <f>R7*Inputs!$D$17</f>
        <v/>
      </c>
      <c r="S8" s="545">
        <f>S7*Inputs!$D$17</f>
        <v/>
      </c>
      <c r="T8" s="545">
        <f>T7*Inputs!$D$17</f>
        <v/>
      </c>
      <c r="U8" s="545">
        <f>U7*Inputs!$D$17</f>
        <v/>
      </c>
      <c r="V8" s="545">
        <f>V7*Inputs!$D$17</f>
        <v/>
      </c>
      <c r="W8" s="545">
        <f>W7*Inputs!$D$17</f>
        <v/>
      </c>
      <c r="X8" s="545">
        <f>X7*Inputs!$D$17</f>
        <v/>
      </c>
      <c r="Y8" s="545">
        <f>Y7*Inputs!$D$17</f>
        <v/>
      </c>
      <c r="Z8" s="545">
        <f>Z7*Inputs!$D$17</f>
        <v/>
      </c>
      <c r="AA8" s="545">
        <f>AA7*Inputs!$D$17</f>
        <v/>
      </c>
      <c r="AB8" s="545">
        <f>AB7*Inputs!$D$17</f>
        <v/>
      </c>
      <c r="AC8" s="545">
        <f>AC7*Inputs!$D$17</f>
        <v/>
      </c>
      <c r="AD8" s="545">
        <f>AD7*Inputs!$D$17</f>
        <v/>
      </c>
      <c r="AE8" s="545">
        <f>AE7*Inputs!$D$17</f>
        <v/>
      </c>
    </row>
    <row r="9" ht="16.5" customHeight="1" s="534">
      <c r="A9" s="546" t="inlineStr">
        <is>
          <t>Net Delivered Production (MWh)</t>
        </is>
      </c>
      <c r="B9" s="547">
        <f>B7-B8</f>
        <v/>
      </c>
      <c r="C9" s="547">
        <f>C7-C8</f>
        <v/>
      </c>
      <c r="D9" s="547">
        <f>D7-D8</f>
        <v/>
      </c>
      <c r="E9" s="547">
        <f>E7-E8</f>
        <v/>
      </c>
      <c r="F9" s="547">
        <f>F7-F8</f>
        <v/>
      </c>
      <c r="G9" s="547">
        <f>G7-G8</f>
        <v/>
      </c>
      <c r="H9" s="547">
        <f>H7-H8</f>
        <v/>
      </c>
      <c r="I9" s="547">
        <f>I7-I8</f>
        <v/>
      </c>
      <c r="J9" s="547">
        <f>J7-J8</f>
        <v/>
      </c>
      <c r="K9" s="547">
        <f>K7-K8</f>
        <v/>
      </c>
      <c r="L9" s="547">
        <f>L7-L8</f>
        <v/>
      </c>
      <c r="M9" s="547">
        <f>M7-M8</f>
        <v/>
      </c>
      <c r="N9" s="547">
        <f>N7-N8</f>
        <v/>
      </c>
      <c r="O9" s="547">
        <f>O7-O8</f>
        <v/>
      </c>
      <c r="P9" s="547">
        <f>P7-P8</f>
        <v/>
      </c>
      <c r="Q9" s="547">
        <f>Q7-Q8</f>
        <v/>
      </c>
      <c r="R9" s="547">
        <f>R7-R8</f>
        <v/>
      </c>
      <c r="S9" s="547">
        <f>S7-S8</f>
        <v/>
      </c>
      <c r="T9" s="547">
        <f>T7-T8</f>
        <v/>
      </c>
      <c r="U9" s="547">
        <f>U7-U8</f>
        <v/>
      </c>
      <c r="V9" s="547">
        <f>V7-V8</f>
        <v/>
      </c>
      <c r="W9" s="547">
        <f>W7-W8</f>
        <v/>
      </c>
      <c r="X9" s="547">
        <f>X7-X8</f>
        <v/>
      </c>
      <c r="Y9" s="547">
        <f>Y7-Y8</f>
        <v/>
      </c>
      <c r="Z9" s="547">
        <f>Z7-Z8</f>
        <v/>
      </c>
      <c r="AA9" s="547">
        <f>AA7-AA8</f>
        <v/>
      </c>
      <c r="AB9" s="547">
        <f>AB7-AB8</f>
        <v/>
      </c>
      <c r="AC9" s="547">
        <f>AC7-AC8</f>
        <v/>
      </c>
      <c r="AD9" s="547">
        <f>AD7-AD8</f>
        <v/>
      </c>
      <c r="AE9" s="547">
        <f>AE7-AE8</f>
        <v/>
      </c>
    </row>
    <row r="10" ht="16.5" customFormat="1" customHeight="1" s="147">
      <c r="B10" s="148" t="n"/>
      <c r="C10" s="149" t="n"/>
      <c r="D10" s="149" t="n"/>
      <c r="E10" s="149" t="n"/>
      <c r="F10" s="149" t="n"/>
      <c r="G10" s="149" t="n"/>
      <c r="H10" s="149" t="n"/>
      <c r="I10" s="149" t="n"/>
      <c r="J10" s="149" t="n"/>
      <c r="K10" s="149" t="n"/>
      <c r="L10" s="149" t="n"/>
      <c r="M10" s="149" t="n"/>
      <c r="N10" s="149" t="n"/>
      <c r="O10" s="149" t="n"/>
      <c r="P10" s="149" t="n"/>
      <c r="Q10" s="149" t="n"/>
      <c r="R10" s="149" t="n"/>
      <c r="S10" s="149" t="n"/>
      <c r="T10" s="149" t="n"/>
      <c r="U10" s="149" t="n"/>
      <c r="V10" s="149" t="n"/>
      <c r="W10" s="149" t="n"/>
      <c r="X10" s="149" t="n"/>
      <c r="Y10" s="149" t="n"/>
      <c r="Z10" s="149" t="n"/>
      <c r="AA10" s="149" t="n"/>
      <c r="AB10" s="149" t="n"/>
      <c r="AC10" s="149" t="n"/>
      <c r="AD10" s="149" t="n"/>
      <c r="AE10" s="149" t="n"/>
    </row>
    <row r="11" ht="16.5" customHeight="1" s="534" thickBot="1">
      <c r="A11" s="290" t="inlineStr">
        <is>
          <t>Year N Production</t>
        </is>
      </c>
      <c r="B11" s="290" t="n">
        <v>1</v>
      </c>
      <c r="C11" s="290" t="n">
        <v>2</v>
      </c>
      <c r="D11" s="290" t="n">
        <v>3</v>
      </c>
      <c r="E11" s="290" t="n">
        <v>4</v>
      </c>
      <c r="F11" s="290" t="n">
        <v>5</v>
      </c>
      <c r="G11" s="290" t="n">
        <v>6</v>
      </c>
      <c r="H11" s="290" t="n">
        <v>7</v>
      </c>
      <c r="I11" s="290" t="n">
        <v>8</v>
      </c>
      <c r="J11" s="290" t="n">
        <v>9</v>
      </c>
      <c r="K11" s="290" t="n">
        <v>10</v>
      </c>
      <c r="L11" s="290" t="n">
        <v>11</v>
      </c>
      <c r="M11" s="290" t="n">
        <v>12</v>
      </c>
      <c r="N11" s="290" t="n">
        <v>13</v>
      </c>
      <c r="O11" s="290" t="n">
        <v>14</v>
      </c>
      <c r="P11" s="290" t="n">
        <v>15</v>
      </c>
      <c r="Q11" s="290" t="n">
        <v>16</v>
      </c>
      <c r="R11" s="290" t="n">
        <v>17</v>
      </c>
      <c r="S11" s="290" t="n">
        <v>18</v>
      </c>
      <c r="T11" s="290" t="n">
        <v>19</v>
      </c>
      <c r="U11" s="290" t="n">
        <v>20</v>
      </c>
      <c r="V11" s="290" t="n">
        <v>21</v>
      </c>
      <c r="W11" s="290" t="n">
        <v>22</v>
      </c>
      <c r="X11" s="290" t="n">
        <v>23</v>
      </c>
      <c r="Y11" s="290" t="n">
        <v>24</v>
      </c>
      <c r="Z11" s="290" t="n">
        <v>25</v>
      </c>
      <c r="AA11" s="290" t="n">
        <v>26</v>
      </c>
      <c r="AB11" s="290" t="n">
        <v>27</v>
      </c>
      <c r="AC11" s="290" t="n">
        <v>28</v>
      </c>
      <c r="AD11" s="290" t="n">
        <v>29</v>
      </c>
      <c r="AE11" s="290" t="n">
        <v>30</v>
      </c>
    </row>
    <row r="12" ht="16.5" customHeight="1" s="534">
      <c r="A12" s="251" t="inlineStr">
        <is>
          <t>BESS Gross Throughput (MWh) - Pre-Degradation</t>
        </is>
      </c>
      <c r="B12" s="542">
        <f>Inputs!$D$23*Inputs!$D$24*Inputs!$D$27</f>
        <v/>
      </c>
      <c r="C12" s="542">
        <f>Inputs!$D$23*Inputs!$D$24*Inputs!$D$27</f>
        <v/>
      </c>
      <c r="D12" s="542">
        <f>Inputs!$D$23*Inputs!$D$24*Inputs!$D$27</f>
        <v/>
      </c>
      <c r="E12" s="542">
        <f>Inputs!$D$23*Inputs!$D$24*Inputs!$D$27</f>
        <v/>
      </c>
      <c r="F12" s="542">
        <f>Inputs!$D$23*Inputs!$D$24*Inputs!$D$27</f>
        <v/>
      </c>
      <c r="G12" s="542">
        <f>Inputs!$D$23*Inputs!$D$24*Inputs!$D$27</f>
        <v/>
      </c>
      <c r="H12" s="542">
        <f>Inputs!$D$23*Inputs!$D$24*Inputs!$D$27</f>
        <v/>
      </c>
      <c r="I12" s="542">
        <f>Inputs!$D$23*Inputs!$D$24*Inputs!$D$27</f>
        <v/>
      </c>
      <c r="J12" s="542">
        <f>Inputs!$D$23*Inputs!$D$24*Inputs!$D$27</f>
        <v/>
      </c>
      <c r="K12" s="542">
        <f>Inputs!$D$23*Inputs!$D$24*Inputs!$D$27</f>
        <v/>
      </c>
      <c r="L12" s="542">
        <f>Inputs!$D$23*Inputs!$D$24*Inputs!$D$27</f>
        <v/>
      </c>
      <c r="M12" s="542">
        <f>Inputs!$D$23*Inputs!$D$24*Inputs!$D$27</f>
        <v/>
      </c>
      <c r="N12" s="542">
        <f>Inputs!$D$23*Inputs!$D$24*Inputs!$D$27</f>
        <v/>
      </c>
      <c r="O12" s="542">
        <f>Inputs!$D$23*Inputs!$D$24*Inputs!$D$27</f>
        <v/>
      </c>
      <c r="P12" s="542">
        <f>Inputs!$D$23*Inputs!$D$24*Inputs!$D$27</f>
        <v/>
      </c>
      <c r="Q12" s="542">
        <f>Inputs!$D$23*Inputs!$D$24*Inputs!$D$27</f>
        <v/>
      </c>
      <c r="R12" s="542">
        <f>Inputs!$D$23*Inputs!$D$24*Inputs!$D$27</f>
        <v/>
      </c>
      <c r="S12" s="542">
        <f>Inputs!$D$23*Inputs!$D$24*Inputs!$D$27</f>
        <v/>
      </c>
      <c r="T12" s="542">
        <f>Inputs!$D$23*Inputs!$D$24*Inputs!$D$27</f>
        <v/>
      </c>
      <c r="U12" s="542">
        <f>Inputs!$D$23*Inputs!$D$24*Inputs!$D$27</f>
        <v/>
      </c>
      <c r="V12" s="542">
        <f>Inputs!$D$23*Inputs!$D$24*Inputs!$D$27</f>
        <v/>
      </c>
      <c r="W12" s="542">
        <f>Inputs!$D$23*Inputs!$D$24*Inputs!$D$27</f>
        <v/>
      </c>
      <c r="X12" s="542">
        <f>Inputs!$D$23*Inputs!$D$24*Inputs!$D$27</f>
        <v/>
      </c>
      <c r="Y12" s="542">
        <f>Inputs!$D$23*Inputs!$D$24*Inputs!$D$27</f>
        <v/>
      </c>
      <c r="Z12" s="542">
        <f>Inputs!$D$23*Inputs!$D$24*Inputs!$D$27</f>
        <v/>
      </c>
      <c r="AA12" s="542">
        <f>Inputs!$D$23*Inputs!$D$24*Inputs!$D$27</f>
        <v/>
      </c>
      <c r="AB12" s="542">
        <f>Inputs!$D$23*Inputs!$D$24*Inputs!$D$27</f>
        <v/>
      </c>
      <c r="AC12" s="542">
        <f>Inputs!$D$23*Inputs!$D$24*Inputs!$D$27</f>
        <v/>
      </c>
      <c r="AD12" s="542">
        <f>Inputs!$D$23*Inputs!$D$24*Inputs!$D$27</f>
        <v/>
      </c>
      <c r="AE12" s="542">
        <f>Inputs!$D$23*Inputs!$D$24*Inputs!$D$27</f>
        <v/>
      </c>
    </row>
    <row r="13" ht="16.5" customHeight="1" s="534">
      <c r="A13" s="253" t="inlineStr">
        <is>
          <t>BESS Degradation Factor (Year N)</t>
        </is>
      </c>
      <c r="B13" s="544">
        <f>(1-Inputs!$D$26)^(Energy!B11-1)</f>
        <v/>
      </c>
      <c r="C13" s="544">
        <f>(1-Inputs!$D$26)^(Energy!C11-1)</f>
        <v/>
      </c>
      <c r="D13" s="544">
        <f>(1-Inputs!$D$26)^(Energy!D11-1)</f>
        <v/>
      </c>
      <c r="E13" s="544">
        <f>(1-Inputs!$D$26)^(Energy!E11-1)</f>
        <v/>
      </c>
      <c r="F13" s="544">
        <f>(1-Inputs!$D$26)^(Energy!F11-1)</f>
        <v/>
      </c>
      <c r="G13" s="544">
        <f>(1-Inputs!$D$26)^(Energy!G11-1)</f>
        <v/>
      </c>
      <c r="H13" s="544">
        <f>(1-Inputs!$D$26)^(Energy!H11-1)</f>
        <v/>
      </c>
      <c r="I13" s="544">
        <f>(1-Inputs!$D$26)^(Energy!I11-1)</f>
        <v/>
      </c>
      <c r="J13" s="544">
        <f>(1-Inputs!$D$26)^(Energy!J11-1)</f>
        <v/>
      </c>
      <c r="K13" s="544">
        <f>(1-Inputs!$D$26)^(Energy!K11-1)</f>
        <v/>
      </c>
      <c r="L13" s="544">
        <f>(1-Inputs!$D$26)^(Energy!L11-1)</f>
        <v/>
      </c>
      <c r="M13" s="544">
        <f>(1-Inputs!$D$26)^(Energy!M11-1)</f>
        <v/>
      </c>
      <c r="N13" s="544">
        <f>(1-Inputs!$D$26)^(Energy!N11-1)</f>
        <v/>
      </c>
      <c r="O13" s="544">
        <f>(1-Inputs!$D$26)^(Energy!O11-1)</f>
        <v/>
      </c>
      <c r="P13" s="544">
        <f>(1-Inputs!$D$26)^(Energy!P11-1)</f>
        <v/>
      </c>
      <c r="Q13" s="544">
        <f>(1-Inputs!$D$26)^(Energy!Q11-1)</f>
        <v/>
      </c>
      <c r="R13" s="544">
        <f>(1-Inputs!$D$26)^(Energy!R11-1)</f>
        <v/>
      </c>
      <c r="S13" s="544">
        <f>(1-Inputs!$D$26)^(Energy!S11-1)</f>
        <v/>
      </c>
      <c r="T13" s="544">
        <f>(1-Inputs!$D$26)^(Energy!T11-1)</f>
        <v/>
      </c>
      <c r="U13" s="544">
        <f>(1-Inputs!$D$26)^(Energy!U11-1)</f>
        <v/>
      </c>
      <c r="V13" s="544">
        <f>(1-Inputs!$D$26)^(Energy!V11-1)</f>
        <v/>
      </c>
      <c r="W13" s="544">
        <f>(1-Inputs!$D$26)^(Energy!W11-1)</f>
        <v/>
      </c>
      <c r="X13" s="544">
        <f>(1-Inputs!$D$26)^(Energy!X11-1)</f>
        <v/>
      </c>
      <c r="Y13" s="544">
        <f>(1-Inputs!$D$26)^(Energy!Y11-1)</f>
        <v/>
      </c>
      <c r="Z13" s="544">
        <f>(1-Inputs!$D$26)^(Energy!Z11-1)</f>
        <v/>
      </c>
      <c r="AA13" s="544">
        <f>(1-Inputs!$D$26)^(Energy!AA11-1)</f>
        <v/>
      </c>
      <c r="AB13" s="544">
        <f>(1-Inputs!$D$26)^(Energy!AB11-1)</f>
        <v/>
      </c>
      <c r="AC13" s="544">
        <f>(1-Inputs!$D$26)^(Energy!AC11-1)</f>
        <v/>
      </c>
      <c r="AD13" s="544">
        <f>(1-Inputs!$D$26)^(Energy!AD11-1)</f>
        <v/>
      </c>
      <c r="AE13" s="544">
        <f>(1-Inputs!$D$26)^(Energy!AE11-1)</f>
        <v/>
      </c>
    </row>
    <row r="14" ht="16.5" customHeight="1" s="534">
      <c r="A14" s="251" t="inlineStr">
        <is>
          <t>BESS Gross Throughput (MWh) - Post-Degradation</t>
        </is>
      </c>
      <c r="B14" s="542">
        <f>B12*B13</f>
        <v/>
      </c>
      <c r="C14" s="542">
        <f>C12*C13</f>
        <v/>
      </c>
      <c r="D14" s="542">
        <f>D12*D13</f>
        <v/>
      </c>
      <c r="E14" s="542">
        <f>E12*E13</f>
        <v/>
      </c>
      <c r="F14" s="542">
        <f>F12*F13</f>
        <v/>
      </c>
      <c r="G14" s="542">
        <f>G12*G13</f>
        <v/>
      </c>
      <c r="H14" s="542">
        <f>H12*H13</f>
        <v/>
      </c>
      <c r="I14" s="542">
        <f>I12*I13</f>
        <v/>
      </c>
      <c r="J14" s="542">
        <f>J12*J13</f>
        <v/>
      </c>
      <c r="K14" s="542">
        <f>K12*K13</f>
        <v/>
      </c>
      <c r="L14" s="542">
        <f>L12*L13</f>
        <v/>
      </c>
      <c r="M14" s="542">
        <f>M12*M13</f>
        <v/>
      </c>
      <c r="N14" s="542">
        <f>N12*N13</f>
        <v/>
      </c>
      <c r="O14" s="542">
        <f>O12*O13</f>
        <v/>
      </c>
      <c r="P14" s="542">
        <f>P12*P13</f>
        <v/>
      </c>
      <c r="Q14" s="542">
        <f>Q12*Q13</f>
        <v/>
      </c>
      <c r="R14" s="542">
        <f>R12*R13</f>
        <v/>
      </c>
      <c r="S14" s="542">
        <f>S12*S13</f>
        <v/>
      </c>
      <c r="T14" s="542">
        <f>T12*T13</f>
        <v/>
      </c>
      <c r="U14" s="542">
        <f>U12*U13</f>
        <v/>
      </c>
      <c r="V14" s="542">
        <f>V12*V13</f>
        <v/>
      </c>
      <c r="W14" s="542">
        <f>W12*W13</f>
        <v/>
      </c>
      <c r="X14" s="542">
        <f>X12*X13</f>
        <v/>
      </c>
      <c r="Y14" s="542">
        <f>Y12*Y13</f>
        <v/>
      </c>
      <c r="Z14" s="542">
        <f>Z12*Z13</f>
        <v/>
      </c>
      <c r="AA14" s="542">
        <f>AA12*AA13</f>
        <v/>
      </c>
      <c r="AB14" s="542">
        <f>AB12*AB13</f>
        <v/>
      </c>
      <c r="AC14" s="542">
        <f>AC12*AC13</f>
        <v/>
      </c>
      <c r="AD14" s="542">
        <f>AD12*AD13</f>
        <v/>
      </c>
      <c r="AE14" s="542">
        <f>AE12*AE13</f>
        <v/>
      </c>
    </row>
    <row r="15" ht="16.5" customHeight="1" s="534">
      <c r="A15" s="253" t="inlineStr">
        <is>
          <t>Curtailment Energy Available for BESS Charging (MWh)</t>
        </is>
      </c>
      <c r="B15" s="544">
        <f>B8</f>
        <v/>
      </c>
      <c r="C15" s="544">
        <f>C8</f>
        <v/>
      </c>
      <c r="D15" s="544">
        <f>D8</f>
        <v/>
      </c>
      <c r="E15" s="544">
        <f>E8</f>
        <v/>
      </c>
      <c r="F15" s="544">
        <f>F8</f>
        <v/>
      </c>
      <c r="G15" s="544">
        <f>G8</f>
        <v/>
      </c>
      <c r="H15" s="544">
        <f>H8</f>
        <v/>
      </c>
      <c r="I15" s="544">
        <f>I8</f>
        <v/>
      </c>
      <c r="J15" s="544">
        <f>J8</f>
        <v/>
      </c>
      <c r="K15" s="544">
        <f>K8</f>
        <v/>
      </c>
      <c r="L15" s="544">
        <f>L8</f>
        <v/>
      </c>
      <c r="M15" s="544">
        <f>M8</f>
        <v/>
      </c>
      <c r="N15" s="544">
        <f>N8</f>
        <v/>
      </c>
      <c r="O15" s="544">
        <f>O8</f>
        <v/>
      </c>
      <c r="P15" s="544">
        <f>P8</f>
        <v/>
      </c>
      <c r="Q15" s="544">
        <f>Q8</f>
        <v/>
      </c>
      <c r="R15" s="544">
        <f>R8</f>
        <v/>
      </c>
      <c r="S15" s="544">
        <f>S8</f>
        <v/>
      </c>
      <c r="T15" s="544">
        <f>T8</f>
        <v/>
      </c>
      <c r="U15" s="544">
        <f>U8</f>
        <v/>
      </c>
      <c r="V15" s="544">
        <f>V8</f>
        <v/>
      </c>
      <c r="W15" s="544">
        <f>W8</f>
        <v/>
      </c>
      <c r="X15" s="544">
        <f>X8</f>
        <v/>
      </c>
      <c r="Y15" s="544">
        <f>Y8</f>
        <v/>
      </c>
      <c r="Z15" s="544">
        <f>Z8</f>
        <v/>
      </c>
      <c r="AA15" s="544">
        <f>AA8</f>
        <v/>
      </c>
      <c r="AB15" s="544">
        <f>AB8</f>
        <v/>
      </c>
      <c r="AC15" s="544">
        <f>AC8</f>
        <v/>
      </c>
      <c r="AD15" s="544">
        <f>AD8</f>
        <v/>
      </c>
      <c r="AE15" s="544">
        <f>AE8</f>
        <v/>
      </c>
    </row>
    <row r="16" ht="16.5" customHeight="1" s="534">
      <c r="A16" s="251" t="inlineStr">
        <is>
          <t>Grid Charging Available (MWh)</t>
        </is>
      </c>
      <c r="B16" s="542">
        <f>B14-B15</f>
        <v/>
      </c>
      <c r="C16" s="542">
        <f>C14-C15</f>
        <v/>
      </c>
      <c r="D16" s="542">
        <f>D14-D15</f>
        <v/>
      </c>
      <c r="E16" s="542">
        <f>E14-E15</f>
        <v/>
      </c>
      <c r="F16" s="542">
        <f>F14-F15</f>
        <v/>
      </c>
      <c r="G16" s="542">
        <f>G14-G15</f>
        <v/>
      </c>
      <c r="H16" s="542">
        <f>H14-H15</f>
        <v/>
      </c>
      <c r="I16" s="542">
        <f>I14-I15</f>
        <v/>
      </c>
      <c r="J16" s="542">
        <f>J14-J15</f>
        <v/>
      </c>
      <c r="K16" s="542">
        <f>K14-K15</f>
        <v/>
      </c>
      <c r="L16" s="542">
        <f>L14-L15</f>
        <v/>
      </c>
      <c r="M16" s="542">
        <f>M14-M15</f>
        <v/>
      </c>
      <c r="N16" s="542">
        <f>N14-N15</f>
        <v/>
      </c>
      <c r="O16" s="542">
        <f>O14-O15</f>
        <v/>
      </c>
      <c r="P16" s="542">
        <f>P14-P15</f>
        <v/>
      </c>
      <c r="Q16" s="542">
        <f>Q14-Q15</f>
        <v/>
      </c>
      <c r="R16" s="542">
        <f>R14-R15</f>
        <v/>
      </c>
      <c r="S16" s="542">
        <f>S14-S15</f>
        <v/>
      </c>
      <c r="T16" s="542">
        <f>T14-T15</f>
        <v/>
      </c>
      <c r="U16" s="542">
        <f>U14-U15</f>
        <v/>
      </c>
      <c r="V16" s="542">
        <f>V14-V15</f>
        <v/>
      </c>
      <c r="W16" s="542">
        <f>W14-W15</f>
        <v/>
      </c>
      <c r="X16" s="542">
        <f>X14-X15</f>
        <v/>
      </c>
      <c r="Y16" s="542">
        <f>Y14-Y15</f>
        <v/>
      </c>
      <c r="Z16" s="542">
        <f>Z14-Z15</f>
        <v/>
      </c>
      <c r="AA16" s="542">
        <f>AA14-AA15</f>
        <v/>
      </c>
      <c r="AB16" s="542">
        <f>AB14-AB15</f>
        <v/>
      </c>
      <c r="AC16" s="542">
        <f>AC14-AC15</f>
        <v/>
      </c>
      <c r="AD16" s="542">
        <f>AD14-AD15</f>
        <v/>
      </c>
      <c r="AE16" s="542">
        <f>AE14-AE15</f>
        <v/>
      </c>
    </row>
    <row r="17" ht="16.5" customHeight="1" s="534">
      <c r="A17" s="253" t="inlineStr">
        <is>
          <t>BESS Gross Throughput - Constrained (MWh)</t>
        </is>
      </c>
      <c r="B17" s="544">
        <f>MIN(B14,SUM(B15:B16))</f>
        <v/>
      </c>
      <c r="C17" s="544">
        <f>MIN(C14,SUM(C15:C16))</f>
        <v/>
      </c>
      <c r="D17" s="544">
        <f>MIN(D14,SUM(D15:D16))</f>
        <v/>
      </c>
      <c r="E17" s="544">
        <f>MIN(E14,SUM(E15:E16))</f>
        <v/>
      </c>
      <c r="F17" s="544">
        <f>MIN(F14,SUM(F15:F16))</f>
        <v/>
      </c>
      <c r="G17" s="544">
        <f>MIN(G14,SUM(G15:G16))</f>
        <v/>
      </c>
      <c r="H17" s="544">
        <f>MIN(H14,SUM(H15:H16))</f>
        <v/>
      </c>
      <c r="I17" s="544">
        <f>MIN(I14,SUM(I15:I16))</f>
        <v/>
      </c>
      <c r="J17" s="544">
        <f>MIN(J14,SUM(J15:J16))</f>
        <v/>
      </c>
      <c r="K17" s="544">
        <f>MIN(K14,SUM(K15:K16))</f>
        <v/>
      </c>
      <c r="L17" s="544">
        <f>MIN(L14,SUM(L15:L16))</f>
        <v/>
      </c>
      <c r="M17" s="544">
        <f>MIN(M14,SUM(M15:M16))</f>
        <v/>
      </c>
      <c r="N17" s="544">
        <f>MIN(N14,SUM(N15:N16))</f>
        <v/>
      </c>
      <c r="O17" s="544">
        <f>MIN(O14,SUM(O15:O16))</f>
        <v/>
      </c>
      <c r="P17" s="544">
        <f>MIN(P14,SUM(P15:P16))</f>
        <v/>
      </c>
      <c r="Q17" s="544">
        <f>MIN(Q14,SUM(Q15:Q16))</f>
        <v/>
      </c>
      <c r="R17" s="544">
        <f>MIN(R14,SUM(R15:R16))</f>
        <v/>
      </c>
      <c r="S17" s="544">
        <f>MIN(S14,SUM(S15:S16))</f>
        <v/>
      </c>
      <c r="T17" s="544">
        <f>MIN(T14,SUM(T15:T16))</f>
        <v/>
      </c>
      <c r="U17" s="544">
        <f>MIN(U14,SUM(U15:U16))</f>
        <v/>
      </c>
      <c r="V17" s="544">
        <f>MIN(V14,SUM(V15:V16))</f>
        <v/>
      </c>
      <c r="W17" s="544">
        <f>MIN(W14,SUM(W15:W16))</f>
        <v/>
      </c>
      <c r="X17" s="544">
        <f>MIN(X14,SUM(X15:X16))</f>
        <v/>
      </c>
      <c r="Y17" s="544">
        <f>MIN(Y14,SUM(Y15:Y16))</f>
        <v/>
      </c>
      <c r="Z17" s="544">
        <f>MIN(Z14,SUM(Z15:Z16))</f>
        <v/>
      </c>
      <c r="AA17" s="544">
        <f>MIN(AA14,SUM(AA15:AA16))</f>
        <v/>
      </c>
      <c r="AB17" s="544">
        <f>MIN(AB14,SUM(AB15:AB16))</f>
        <v/>
      </c>
      <c r="AC17" s="544">
        <f>MIN(AC14,SUM(AC15:AC16))</f>
        <v/>
      </c>
      <c r="AD17" s="544">
        <f>MIN(AD14,SUM(AD15:AD16))</f>
        <v/>
      </c>
      <c r="AE17" s="544">
        <f>MIN(AE14,SUM(AE15:AE16))</f>
        <v/>
      </c>
    </row>
    <row r="18" ht="16.5" customHeight="1" s="534">
      <c r="A18" s="251" t="inlineStr">
        <is>
          <t>Round-Trip Efficiency Loss (MWh)</t>
        </is>
      </c>
      <c r="B18" s="548">
        <f>B17*(1-Inputs!$D$25)</f>
        <v/>
      </c>
      <c r="C18" s="548">
        <f>C17*(1-Inputs!$D$25)</f>
        <v/>
      </c>
      <c r="D18" s="548">
        <f>D17*(1-Inputs!$D$25)</f>
        <v/>
      </c>
      <c r="E18" s="548">
        <f>E17*(1-Inputs!$D$25)</f>
        <v/>
      </c>
      <c r="F18" s="548">
        <f>F17*(1-Inputs!$D$25)</f>
        <v/>
      </c>
      <c r="G18" s="548">
        <f>G17*(1-Inputs!$D$25)</f>
        <v/>
      </c>
      <c r="H18" s="548">
        <f>H17*(1-Inputs!$D$25)</f>
        <v/>
      </c>
      <c r="I18" s="548">
        <f>I17*(1-Inputs!$D$25)</f>
        <v/>
      </c>
      <c r="J18" s="548">
        <f>J17*(1-Inputs!$D$25)</f>
        <v/>
      </c>
      <c r="K18" s="548">
        <f>K17*(1-Inputs!$D$25)</f>
        <v/>
      </c>
      <c r="L18" s="548">
        <f>L17*(1-Inputs!$D$25)</f>
        <v/>
      </c>
      <c r="M18" s="548">
        <f>M17*(1-Inputs!$D$25)</f>
        <v/>
      </c>
      <c r="N18" s="548">
        <f>N17*(1-Inputs!$D$25)</f>
        <v/>
      </c>
      <c r="O18" s="548">
        <f>O17*(1-Inputs!$D$25)</f>
        <v/>
      </c>
      <c r="P18" s="548">
        <f>P17*(1-Inputs!$D$25)</f>
        <v/>
      </c>
      <c r="Q18" s="548">
        <f>Q17*(1-Inputs!$D$25)</f>
        <v/>
      </c>
      <c r="R18" s="548">
        <f>R17*(1-Inputs!$D$25)</f>
        <v/>
      </c>
      <c r="S18" s="548">
        <f>S17*(1-Inputs!$D$25)</f>
        <v/>
      </c>
      <c r="T18" s="548">
        <f>T17*(1-Inputs!$D$25)</f>
        <v/>
      </c>
      <c r="U18" s="548">
        <f>U17*(1-Inputs!$D$25)</f>
        <v/>
      </c>
      <c r="V18" s="548">
        <f>V17*(1-Inputs!$D$25)</f>
        <v/>
      </c>
      <c r="W18" s="548">
        <f>W17*(1-Inputs!$D$25)</f>
        <v/>
      </c>
      <c r="X18" s="548">
        <f>X17*(1-Inputs!$D$25)</f>
        <v/>
      </c>
      <c r="Y18" s="548">
        <f>Y17*(1-Inputs!$D$25)</f>
        <v/>
      </c>
      <c r="Z18" s="548">
        <f>Z17*(1-Inputs!$D$25)</f>
        <v/>
      </c>
      <c r="AA18" s="548">
        <f>AA17*(1-Inputs!$D$25)</f>
        <v/>
      </c>
      <c r="AB18" s="548">
        <f>AB17*(1-Inputs!$D$25)</f>
        <v/>
      </c>
      <c r="AC18" s="548">
        <f>AC17*(1-Inputs!$D$25)</f>
        <v/>
      </c>
      <c r="AD18" s="548">
        <f>AD17*(1-Inputs!$D$25)</f>
        <v/>
      </c>
      <c r="AE18" s="548">
        <f>AE17*(1-Inputs!$D$25)</f>
        <v/>
      </c>
    </row>
    <row r="19" ht="16.5" customHeight="1" s="534">
      <c r="A19" s="261" t="inlineStr">
        <is>
          <t>BESS Net Discharge (MWh)</t>
        </is>
      </c>
      <c r="B19" s="547">
        <f>B17-B18</f>
        <v/>
      </c>
      <c r="C19" s="547">
        <f>C17-C18</f>
        <v/>
      </c>
      <c r="D19" s="547">
        <f>D17-D18</f>
        <v/>
      </c>
      <c r="E19" s="547">
        <f>E17-E18</f>
        <v/>
      </c>
      <c r="F19" s="547">
        <f>F17-F18</f>
        <v/>
      </c>
      <c r="G19" s="547">
        <f>G17-G18</f>
        <v/>
      </c>
      <c r="H19" s="547">
        <f>H17-H18</f>
        <v/>
      </c>
      <c r="I19" s="547">
        <f>I17-I18</f>
        <v/>
      </c>
      <c r="J19" s="547">
        <f>J17-J18</f>
        <v/>
      </c>
      <c r="K19" s="547">
        <f>K17-K18</f>
        <v/>
      </c>
      <c r="L19" s="547">
        <f>L17-L18</f>
        <v/>
      </c>
      <c r="M19" s="547">
        <f>M17-M18</f>
        <v/>
      </c>
      <c r="N19" s="547">
        <f>N17-N18</f>
        <v/>
      </c>
      <c r="O19" s="547">
        <f>O17-O18</f>
        <v/>
      </c>
      <c r="P19" s="547">
        <f>P17-P18</f>
        <v/>
      </c>
      <c r="Q19" s="547">
        <f>Q17-Q18</f>
        <v/>
      </c>
      <c r="R19" s="547">
        <f>R17-R18</f>
        <v/>
      </c>
      <c r="S19" s="547">
        <f>S17-S18</f>
        <v/>
      </c>
      <c r="T19" s="547">
        <f>T17-T18</f>
        <v/>
      </c>
      <c r="U19" s="547">
        <f>U17-U18</f>
        <v/>
      </c>
      <c r="V19" s="547">
        <f>V17-V18</f>
        <v/>
      </c>
      <c r="W19" s="547">
        <f>W17-W18</f>
        <v/>
      </c>
      <c r="X19" s="547">
        <f>X17-X18</f>
        <v/>
      </c>
      <c r="Y19" s="547">
        <f>Y17-Y18</f>
        <v/>
      </c>
      <c r="Z19" s="547">
        <f>Z17-Z18</f>
        <v/>
      </c>
      <c r="AA19" s="547">
        <f>AA17-AA18</f>
        <v/>
      </c>
      <c r="AB19" s="547">
        <f>AB17-AB18</f>
        <v/>
      </c>
      <c r="AC19" s="547">
        <f>AC17-AC18</f>
        <v/>
      </c>
      <c r="AD19" s="547">
        <f>AD17-AD18</f>
        <v/>
      </c>
      <c r="AE19" s="547">
        <f>AE17-AE18</f>
        <v/>
      </c>
    </row>
  </sheetData>
  <mergeCells count="1">
    <mergeCell ref="A1:AE1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tabColor rgb="FFC9A84C"/>
    <outlinePr summaryBelow="1" summaryRight="1"/>
    <pageSetUpPr/>
  </sheetPr>
  <dimension ref="A1:AF50"/>
  <sheetViews>
    <sheetView showGridLines="0" zoomScaleNormal="100" workbookViewId="0">
      <pane xSplit="2" ySplit="2" topLeftCell="C16" activePane="bottomRight" state="frozen"/>
      <selection pane="topRight" activeCell="C1" sqref="C1"/>
      <selection pane="bottomLeft" activeCell="A3" sqref="A3"/>
      <selection pane="bottomRight" activeCell="C11" sqref="C11"/>
    </sheetView>
  </sheetViews>
  <sheetFormatPr baseColWidth="8" defaultColWidth="8.7265625" defaultRowHeight="14.5"/>
  <cols>
    <col width="1.7265625" customWidth="1" style="534" min="1" max="1"/>
    <col width="47.81640625" bestFit="1" customWidth="1" style="534" min="2" max="2"/>
    <col width="15.54296875" bestFit="1" customWidth="1" style="534" min="3" max="32"/>
  </cols>
  <sheetData>
    <row r="1" ht="27.75" customHeight="1" s="534" thickBot="1">
      <c r="A1" s="512" t="inlineStr">
        <is>
          <t>REVENUE  —  Solar Energy · BESS Arbitrage · Resource Adequacy · Ancillary Services  ·  Years 1–30</t>
        </is>
      </c>
      <c r="B1" s="535" t="n"/>
      <c r="C1" s="535" t="n"/>
      <c r="D1" s="535" t="n"/>
      <c r="E1" s="535" t="n"/>
      <c r="F1" s="535" t="n"/>
      <c r="G1" s="535" t="n"/>
      <c r="H1" s="535" t="n"/>
      <c r="I1" s="535" t="n"/>
      <c r="J1" s="535" t="n"/>
      <c r="K1" s="535" t="n"/>
      <c r="L1" s="535" t="n"/>
      <c r="M1" s="535" t="n"/>
      <c r="N1" s="535" t="n"/>
      <c r="O1" s="535" t="n"/>
      <c r="P1" s="535" t="n"/>
      <c r="Q1" s="535" t="n"/>
      <c r="R1" s="535" t="n"/>
      <c r="S1" s="535" t="n"/>
      <c r="T1" s="535" t="n"/>
      <c r="U1" s="535" t="n"/>
      <c r="V1" s="535" t="n"/>
      <c r="W1" s="535" t="n"/>
      <c r="X1" s="535" t="n"/>
      <c r="Y1" s="535" t="n"/>
      <c r="Z1" s="535" t="n"/>
      <c r="AA1" s="535" t="n"/>
      <c r="AB1" s="535" t="n"/>
      <c r="AC1" s="535" t="n"/>
      <c r="AD1" s="535" t="n"/>
      <c r="AE1" s="535" t="n"/>
      <c r="AF1" s="535" t="n"/>
    </row>
    <row r="2" ht="18" customHeight="1" s="534" thickBot="1">
      <c r="B2" s="290" t="inlineStr">
        <is>
          <t>Year N Production</t>
        </is>
      </c>
      <c r="C2" s="290" t="n">
        <v>1</v>
      </c>
      <c r="D2" s="290" t="n">
        <v>2</v>
      </c>
      <c r="E2" s="290" t="n">
        <v>3</v>
      </c>
      <c r="F2" s="290" t="n">
        <v>4</v>
      </c>
      <c r="G2" s="290" t="n">
        <v>5</v>
      </c>
      <c r="H2" s="290" t="n">
        <v>6</v>
      </c>
      <c r="I2" s="290" t="n">
        <v>7</v>
      </c>
      <c r="J2" s="290" t="n">
        <v>8</v>
      </c>
      <c r="K2" s="290" t="n">
        <v>9</v>
      </c>
      <c r="L2" s="290" t="n">
        <v>10</v>
      </c>
      <c r="M2" s="290" t="n">
        <v>11</v>
      </c>
      <c r="N2" s="290" t="n">
        <v>12</v>
      </c>
      <c r="O2" s="290" t="n">
        <v>13</v>
      </c>
      <c r="P2" s="290" t="n">
        <v>14</v>
      </c>
      <c r="Q2" s="290" t="n">
        <v>15</v>
      </c>
      <c r="R2" s="290" t="n">
        <v>16</v>
      </c>
      <c r="S2" s="290" t="n">
        <v>17</v>
      </c>
      <c r="T2" s="290" t="n">
        <v>18</v>
      </c>
      <c r="U2" s="290" t="n">
        <v>19</v>
      </c>
      <c r="V2" s="290" t="n">
        <v>20</v>
      </c>
      <c r="W2" s="290" t="n">
        <v>21</v>
      </c>
      <c r="X2" s="290" t="n">
        <v>22</v>
      </c>
      <c r="Y2" s="290" t="n">
        <v>23</v>
      </c>
      <c r="Z2" s="290" t="n">
        <v>24</v>
      </c>
      <c r="AA2" s="290" t="n">
        <v>25</v>
      </c>
      <c r="AB2" s="290" t="n">
        <v>26</v>
      </c>
      <c r="AC2" s="290" t="n">
        <v>27</v>
      </c>
      <c r="AD2" s="290" t="n">
        <v>28</v>
      </c>
      <c r="AE2" s="290" t="n">
        <v>29</v>
      </c>
      <c r="AF2" s="290" t="n">
        <v>30</v>
      </c>
    </row>
    <row r="3" ht="16.5" customFormat="1" customHeight="1" s="165" thickBot="1">
      <c r="A3" s="82" t="inlineStr">
        <is>
          <t>Solar Energy Revenue</t>
        </is>
      </c>
      <c r="B3" s="82" t="n"/>
      <c r="C3" s="82" t="n"/>
      <c r="D3" s="82" t="n"/>
      <c r="E3" s="82" t="n"/>
      <c r="F3" s="82" t="n"/>
      <c r="G3" s="82" t="n"/>
      <c r="H3" s="82" t="n"/>
      <c r="I3" s="82" t="n"/>
      <c r="J3" s="82" t="n"/>
      <c r="K3" s="82" t="n"/>
      <c r="L3" s="82" t="n"/>
      <c r="M3" s="82" t="n"/>
      <c r="N3" s="82" t="n"/>
      <c r="O3" s="82" t="n"/>
      <c r="P3" s="82" t="n"/>
      <c r="Q3" s="82" t="n"/>
      <c r="R3" s="82" t="n"/>
      <c r="S3" s="82" t="n"/>
      <c r="T3" s="82" t="n"/>
      <c r="U3" s="82" t="n"/>
      <c r="V3" s="82" t="n"/>
      <c r="W3" s="82" t="n"/>
      <c r="X3" s="82" t="n"/>
      <c r="Y3" s="82" t="n"/>
      <c r="Z3" s="82" t="n"/>
      <c r="AA3" s="82" t="n"/>
      <c r="AB3" s="82" t="n"/>
      <c r="AC3" s="82" t="n"/>
      <c r="AD3" s="82" t="n"/>
      <c r="AE3" s="82" t="n"/>
      <c r="AF3" s="82" t="n"/>
    </row>
    <row r="4" ht="16.5" customFormat="1" customHeight="1" s="218">
      <c r="B4" s="253" t="inlineStr">
        <is>
          <t>Net Delivered Solar Production (MWh)</t>
        </is>
      </c>
      <c r="C4" s="545">
        <f>Energy!B9</f>
        <v/>
      </c>
      <c r="D4" s="545">
        <f>Energy!C9</f>
        <v/>
      </c>
      <c r="E4" s="545">
        <f>Energy!D9</f>
        <v/>
      </c>
      <c r="F4" s="545">
        <f>Energy!E9</f>
        <v/>
      </c>
      <c r="G4" s="545">
        <f>Energy!F9</f>
        <v/>
      </c>
      <c r="H4" s="545">
        <f>Energy!G9</f>
        <v/>
      </c>
      <c r="I4" s="545">
        <f>Energy!H9</f>
        <v/>
      </c>
      <c r="J4" s="545">
        <f>Energy!I9</f>
        <v/>
      </c>
      <c r="K4" s="545">
        <f>Energy!J9</f>
        <v/>
      </c>
      <c r="L4" s="545">
        <f>Energy!K9</f>
        <v/>
      </c>
      <c r="M4" s="545">
        <f>Energy!L9</f>
        <v/>
      </c>
      <c r="N4" s="545">
        <f>Energy!M9</f>
        <v/>
      </c>
      <c r="O4" s="545">
        <f>Energy!N9</f>
        <v/>
      </c>
      <c r="P4" s="545">
        <f>Energy!O9</f>
        <v/>
      </c>
      <c r="Q4" s="545">
        <f>Energy!P9</f>
        <v/>
      </c>
      <c r="R4" s="545">
        <f>Energy!Q9</f>
        <v/>
      </c>
      <c r="S4" s="545">
        <f>Energy!R9</f>
        <v/>
      </c>
      <c r="T4" s="545">
        <f>Energy!S9</f>
        <v/>
      </c>
      <c r="U4" s="545">
        <f>Energy!T9</f>
        <v/>
      </c>
      <c r="V4" s="545">
        <f>Energy!U9</f>
        <v/>
      </c>
      <c r="W4" s="545">
        <f>Energy!V9</f>
        <v/>
      </c>
      <c r="X4" s="545">
        <f>Energy!W9</f>
        <v/>
      </c>
      <c r="Y4" s="545">
        <f>Energy!X9</f>
        <v/>
      </c>
      <c r="Z4" s="545">
        <f>Energy!Y9</f>
        <v/>
      </c>
      <c r="AA4" s="545">
        <f>Energy!Z9</f>
        <v/>
      </c>
      <c r="AB4" s="545">
        <f>Energy!AA9</f>
        <v/>
      </c>
      <c r="AC4" s="545">
        <f>Energy!AB9</f>
        <v/>
      </c>
      <c r="AD4" s="545">
        <f>Energy!AC9</f>
        <v/>
      </c>
      <c r="AE4" s="545">
        <f>Energy!AD9</f>
        <v/>
      </c>
      <c r="AF4" s="549">
        <f>Energy!AE9</f>
        <v/>
      </c>
    </row>
    <row r="5" ht="16.5" customFormat="1" customHeight="1" s="218">
      <c r="B5" s="251" t="inlineStr">
        <is>
          <t>PPA Price — Year 1 ($/MWh)</t>
        </is>
      </c>
      <c r="C5" s="292">
        <f>Inputs!$D$30</f>
        <v/>
      </c>
      <c r="D5" s="292">
        <f>Inputs!$D$30</f>
        <v/>
      </c>
      <c r="E5" s="292">
        <f>Inputs!$D$30</f>
        <v/>
      </c>
      <c r="F5" s="292">
        <f>Inputs!$D$30</f>
        <v/>
      </c>
      <c r="G5" s="292">
        <f>Inputs!$D$30</f>
        <v/>
      </c>
      <c r="H5" s="292">
        <f>Inputs!$D$30</f>
        <v/>
      </c>
      <c r="I5" s="292">
        <f>Inputs!$D$30</f>
        <v/>
      </c>
      <c r="J5" s="292">
        <f>Inputs!$D$30</f>
        <v/>
      </c>
      <c r="K5" s="292">
        <f>Inputs!$D$30</f>
        <v/>
      </c>
      <c r="L5" s="292">
        <f>Inputs!$D$30</f>
        <v/>
      </c>
      <c r="M5" s="292">
        <f>Inputs!$D$30</f>
        <v/>
      </c>
      <c r="N5" s="292">
        <f>Inputs!$D$30</f>
        <v/>
      </c>
      <c r="O5" s="292">
        <f>Inputs!$D$30</f>
        <v/>
      </c>
      <c r="P5" s="292">
        <f>Inputs!$D$30</f>
        <v/>
      </c>
      <c r="Q5" s="292">
        <f>Inputs!$D$30</f>
        <v/>
      </c>
      <c r="R5" s="292">
        <f>Inputs!$D$30</f>
        <v/>
      </c>
      <c r="S5" s="292">
        <f>Inputs!$D$30</f>
        <v/>
      </c>
      <c r="T5" s="292">
        <f>Inputs!$D$30</f>
        <v/>
      </c>
      <c r="U5" s="292">
        <f>Inputs!$D$30</f>
        <v/>
      </c>
      <c r="V5" s="292">
        <f>Inputs!$D$30</f>
        <v/>
      </c>
      <c r="W5" s="292">
        <f>Inputs!$D$30</f>
        <v/>
      </c>
      <c r="X5" s="292">
        <f>Inputs!$D$30</f>
        <v/>
      </c>
      <c r="Y5" s="292">
        <f>Inputs!$D$30</f>
        <v/>
      </c>
      <c r="Z5" s="292">
        <f>Inputs!$D$30</f>
        <v/>
      </c>
      <c r="AA5" s="292">
        <f>Inputs!$D$30</f>
        <v/>
      </c>
      <c r="AB5" s="292">
        <f>Inputs!$D$30</f>
        <v/>
      </c>
      <c r="AC5" s="292">
        <f>Inputs!$D$30</f>
        <v/>
      </c>
      <c r="AD5" s="292">
        <f>Inputs!$D$30</f>
        <v/>
      </c>
      <c r="AE5" s="292">
        <f>Inputs!$D$30</f>
        <v/>
      </c>
      <c r="AF5" s="293">
        <f>Inputs!$D$30</f>
        <v/>
      </c>
    </row>
    <row r="6" ht="16.5" customFormat="1" customHeight="1" s="218">
      <c r="B6" s="253" t="inlineStr">
        <is>
          <t>PPA Escalator Factor</t>
        </is>
      </c>
      <c r="C6" s="550">
        <f>(1+Inputs!$D$31)^(Revenue!C2-1)</f>
        <v/>
      </c>
      <c r="D6" s="550">
        <f>(1+Inputs!$D$31)^(Revenue!D2-1)</f>
        <v/>
      </c>
      <c r="E6" s="550">
        <f>(1+Inputs!$D$31)^(Revenue!E2-1)</f>
        <v/>
      </c>
      <c r="F6" s="550">
        <f>(1+Inputs!$D$31)^(Revenue!F2-1)</f>
        <v/>
      </c>
      <c r="G6" s="550">
        <f>(1+Inputs!$D$31)^(Revenue!G2-1)</f>
        <v/>
      </c>
      <c r="H6" s="550">
        <f>(1+Inputs!$D$31)^(Revenue!H2-1)</f>
        <v/>
      </c>
      <c r="I6" s="550">
        <f>(1+Inputs!$D$31)^(Revenue!I2-1)</f>
        <v/>
      </c>
      <c r="J6" s="550">
        <f>(1+Inputs!$D$31)^(Revenue!J2-1)</f>
        <v/>
      </c>
      <c r="K6" s="550">
        <f>(1+Inputs!$D$31)^(Revenue!K2-1)</f>
        <v/>
      </c>
      <c r="L6" s="550">
        <f>(1+Inputs!$D$31)^(Revenue!L2-1)</f>
        <v/>
      </c>
      <c r="M6" s="550">
        <f>(1+Inputs!$D$31)^(Revenue!M2-1)</f>
        <v/>
      </c>
      <c r="N6" s="550">
        <f>(1+Inputs!$D$31)^(Revenue!N2-1)</f>
        <v/>
      </c>
      <c r="O6" s="550">
        <f>(1+Inputs!$D$31)^(Revenue!O2-1)</f>
        <v/>
      </c>
      <c r="P6" s="550">
        <f>(1+Inputs!$D$31)^(Revenue!P2-1)</f>
        <v/>
      </c>
      <c r="Q6" s="550">
        <f>(1+Inputs!$D$31)^(Revenue!Q2-1)</f>
        <v/>
      </c>
      <c r="R6" s="550">
        <f>(1+Inputs!$D$31)^(Revenue!R2-1)</f>
        <v/>
      </c>
      <c r="S6" s="550">
        <f>(1+Inputs!$D$31)^(Revenue!S2-1)</f>
        <v/>
      </c>
      <c r="T6" s="550">
        <f>(1+Inputs!$D$31)^(Revenue!T2-1)</f>
        <v/>
      </c>
      <c r="U6" s="550">
        <f>(1+Inputs!$D$31)^(Revenue!U2-1)</f>
        <v/>
      </c>
      <c r="V6" s="550">
        <f>(1+Inputs!$D$31)^(Revenue!V2-1)</f>
        <v/>
      </c>
      <c r="W6" s="550">
        <f>(1+Inputs!$D$31)^(Revenue!W2-1)</f>
        <v/>
      </c>
      <c r="X6" s="550">
        <f>(1+Inputs!$D$31)^(Revenue!X2-1)</f>
        <v/>
      </c>
      <c r="Y6" s="550">
        <f>(1+Inputs!$D$31)^(Revenue!Y2-1)</f>
        <v/>
      </c>
      <c r="Z6" s="550">
        <f>(1+Inputs!$D$31)^(Revenue!Z2-1)</f>
        <v/>
      </c>
      <c r="AA6" s="550">
        <f>(1+Inputs!$D$31)^(Revenue!AA2-1)</f>
        <v/>
      </c>
      <c r="AB6" s="550">
        <f>(1+Inputs!$D$31)^(Revenue!AB2-1)</f>
        <v/>
      </c>
      <c r="AC6" s="550">
        <f>(1+Inputs!$D$31)^(Revenue!AC2-1)</f>
        <v/>
      </c>
      <c r="AD6" s="550">
        <f>(1+Inputs!$D$31)^(Revenue!AD2-1)</f>
        <v/>
      </c>
      <c r="AE6" s="550">
        <f>(1+Inputs!$D$31)^(Revenue!AE2-1)</f>
        <v/>
      </c>
      <c r="AF6" s="551">
        <f>(1+Inputs!$D$31)^(Revenue!AF2-1)</f>
        <v/>
      </c>
    </row>
    <row r="7" ht="16.5" customFormat="1" customHeight="1" s="218">
      <c r="B7" s="251" t="inlineStr">
        <is>
          <t>PPA Price — Escalated ($/MWh)</t>
        </is>
      </c>
      <c r="C7" s="292">
        <f>C5*C6</f>
        <v/>
      </c>
      <c r="D7" s="292">
        <f>D5*D6</f>
        <v/>
      </c>
      <c r="E7" s="292">
        <f>E5*E6</f>
        <v/>
      </c>
      <c r="F7" s="292">
        <f>F5*F6</f>
        <v/>
      </c>
      <c r="G7" s="292">
        <f>G5*G6</f>
        <v/>
      </c>
      <c r="H7" s="292">
        <f>H5*H6</f>
        <v/>
      </c>
      <c r="I7" s="292">
        <f>I5*I6</f>
        <v/>
      </c>
      <c r="J7" s="292">
        <f>J5*J6</f>
        <v/>
      </c>
      <c r="K7" s="292">
        <f>K5*K6</f>
        <v/>
      </c>
      <c r="L7" s="292">
        <f>L5*L6</f>
        <v/>
      </c>
      <c r="M7" s="292">
        <f>M5*M6</f>
        <v/>
      </c>
      <c r="N7" s="292">
        <f>N5*N6</f>
        <v/>
      </c>
      <c r="O7" s="292">
        <f>O5*O6</f>
        <v/>
      </c>
      <c r="P7" s="292">
        <f>P5*P6</f>
        <v/>
      </c>
      <c r="Q7" s="292">
        <f>Q5*Q6</f>
        <v/>
      </c>
      <c r="R7" s="292">
        <f>R5*R6</f>
        <v/>
      </c>
      <c r="S7" s="292">
        <f>S5*S6</f>
        <v/>
      </c>
      <c r="T7" s="292">
        <f>T5*T6</f>
        <v/>
      </c>
      <c r="U7" s="292">
        <f>U5*U6</f>
        <v/>
      </c>
      <c r="V7" s="292">
        <f>V5*V6</f>
        <v/>
      </c>
      <c r="W7" s="292">
        <f>W5*W6</f>
        <v/>
      </c>
      <c r="X7" s="292">
        <f>X5*X6</f>
        <v/>
      </c>
      <c r="Y7" s="292">
        <f>Y5*Y6</f>
        <v/>
      </c>
      <c r="Z7" s="292">
        <f>Z5*Z6</f>
        <v/>
      </c>
      <c r="AA7" s="292">
        <f>AA5*AA6</f>
        <v/>
      </c>
      <c r="AB7" s="292">
        <f>AB5*AB6</f>
        <v/>
      </c>
      <c r="AC7" s="292">
        <f>AC5*AC6</f>
        <v/>
      </c>
      <c r="AD7" s="292">
        <f>AD5*AD6</f>
        <v/>
      </c>
      <c r="AE7" s="292">
        <f>AE5*AE6</f>
        <v/>
      </c>
      <c r="AF7" s="293">
        <f>AF5*AF6</f>
        <v/>
      </c>
    </row>
    <row r="8" ht="16.5" customFormat="1" customHeight="1" s="218">
      <c r="B8" s="253" t="inlineStr">
        <is>
          <t>Merchant Price ($/MWh)</t>
        </is>
      </c>
      <c r="C8" s="270">
        <f>Inputs!$D$33</f>
        <v/>
      </c>
      <c r="D8" s="270">
        <f>Inputs!$D$33</f>
        <v/>
      </c>
      <c r="E8" s="270">
        <f>Inputs!$D$33</f>
        <v/>
      </c>
      <c r="F8" s="270">
        <f>Inputs!$D$33</f>
        <v/>
      </c>
      <c r="G8" s="270">
        <f>Inputs!$D$33</f>
        <v/>
      </c>
      <c r="H8" s="270">
        <f>Inputs!$D$33</f>
        <v/>
      </c>
      <c r="I8" s="270">
        <f>Inputs!$D$33</f>
        <v/>
      </c>
      <c r="J8" s="270">
        <f>Inputs!$D$33</f>
        <v/>
      </c>
      <c r="K8" s="270">
        <f>Inputs!$D$33</f>
        <v/>
      </c>
      <c r="L8" s="270">
        <f>Inputs!$D$33</f>
        <v/>
      </c>
      <c r="M8" s="270">
        <f>Inputs!$D$33</f>
        <v/>
      </c>
      <c r="N8" s="270">
        <f>Inputs!$D$33</f>
        <v/>
      </c>
      <c r="O8" s="270">
        <f>Inputs!$D$33</f>
        <v/>
      </c>
      <c r="P8" s="270">
        <f>Inputs!$D$33</f>
        <v/>
      </c>
      <c r="Q8" s="270">
        <f>Inputs!$D$33</f>
        <v/>
      </c>
      <c r="R8" s="270">
        <f>Inputs!$D$33</f>
        <v/>
      </c>
      <c r="S8" s="270">
        <f>Inputs!$D$33</f>
        <v/>
      </c>
      <c r="T8" s="270">
        <f>Inputs!$D$33</f>
        <v/>
      </c>
      <c r="U8" s="270">
        <f>Inputs!$D$33</f>
        <v/>
      </c>
      <c r="V8" s="270">
        <f>Inputs!$D$33</f>
        <v/>
      </c>
      <c r="W8" s="270">
        <f>Inputs!$D$33</f>
        <v/>
      </c>
      <c r="X8" s="270">
        <f>Inputs!$D$33</f>
        <v/>
      </c>
      <c r="Y8" s="270">
        <f>Inputs!$D$33</f>
        <v/>
      </c>
      <c r="Z8" s="270">
        <f>Inputs!$D$33</f>
        <v/>
      </c>
      <c r="AA8" s="270">
        <f>Inputs!$D$33</f>
        <v/>
      </c>
      <c r="AB8" s="270">
        <f>Inputs!$D$33</f>
        <v/>
      </c>
      <c r="AC8" s="270">
        <f>Inputs!$D$33</f>
        <v/>
      </c>
      <c r="AD8" s="270">
        <f>Inputs!$D$33</f>
        <v/>
      </c>
      <c r="AE8" s="270">
        <f>Inputs!$D$33</f>
        <v/>
      </c>
      <c r="AF8" s="294">
        <f>Inputs!$D$33</f>
        <v/>
      </c>
    </row>
    <row r="9" ht="16.5" customFormat="1" customHeight="1" s="218">
      <c r="B9" s="251" t="inlineStr">
        <is>
          <t>Contract Period Flag</t>
        </is>
      </c>
      <c r="C9" s="543">
        <f>IF(C2&lt;=Inputs!$D$32,"PPA","Merchant")</f>
        <v/>
      </c>
      <c r="D9" s="543">
        <f>IF(D2&lt;=Inputs!$D$32,"PPA","Merchant")</f>
        <v/>
      </c>
      <c r="E9" s="543">
        <f>IF(E2&lt;=Inputs!$D$32,"PPA","Merchant")</f>
        <v/>
      </c>
      <c r="F9" s="543">
        <f>IF(F2&lt;=Inputs!$D$32,"PPA","Merchant")</f>
        <v/>
      </c>
      <c r="G9" s="543">
        <f>IF(G2&lt;=Inputs!$D$32,"PPA","Merchant")</f>
        <v/>
      </c>
      <c r="H9" s="543">
        <f>IF(H2&lt;=Inputs!$D$32,"PPA","Merchant")</f>
        <v/>
      </c>
      <c r="I9" s="543">
        <f>IF(I2&lt;=Inputs!$D$32,"PPA","Merchant")</f>
        <v/>
      </c>
      <c r="J9" s="543">
        <f>IF(J2&lt;=Inputs!$D$32,"PPA","Merchant")</f>
        <v/>
      </c>
      <c r="K9" s="543">
        <f>IF(K2&lt;=Inputs!$D$32,"PPA","Merchant")</f>
        <v/>
      </c>
      <c r="L9" s="543">
        <f>IF(L2&lt;=Inputs!$D$32,"PPA","Merchant")</f>
        <v/>
      </c>
      <c r="M9" s="543">
        <f>IF(M2&lt;=Inputs!$D$32,"PPA","Merchant")</f>
        <v/>
      </c>
      <c r="N9" s="543">
        <f>IF(N2&lt;=Inputs!$D$32,"PPA","Merchant")</f>
        <v/>
      </c>
      <c r="O9" s="543">
        <f>IF(O2&lt;=Inputs!$D$32,"PPA","Merchant")</f>
        <v/>
      </c>
      <c r="P9" s="543">
        <f>IF(P2&lt;=Inputs!$D$32,"PPA","Merchant")</f>
        <v/>
      </c>
      <c r="Q9" s="543">
        <f>IF(Q2&lt;=Inputs!$D$32,"PPA","Merchant")</f>
        <v/>
      </c>
      <c r="R9" s="543">
        <f>IF(R2&lt;=Inputs!$D$32,"PPA","Merchant")</f>
        <v/>
      </c>
      <c r="S9" s="543">
        <f>IF(S2&lt;=Inputs!$D$32,"PPA","Merchant")</f>
        <v/>
      </c>
      <c r="T9" s="543">
        <f>IF(T2&lt;=Inputs!$D$32,"PPA","Merchant")</f>
        <v/>
      </c>
      <c r="U9" s="543">
        <f>IF(U2&lt;=Inputs!$D$32,"PPA","Merchant")</f>
        <v/>
      </c>
      <c r="V9" s="543">
        <f>IF(V2&lt;=Inputs!$D$32,"PPA","Merchant")</f>
        <v/>
      </c>
      <c r="W9" s="543">
        <f>IF(W2&lt;=Inputs!$D$32,"PPA","Merchant")</f>
        <v/>
      </c>
      <c r="X9" s="543">
        <f>IF(X2&lt;=Inputs!$D$32,"PPA","Merchant")</f>
        <v/>
      </c>
      <c r="Y9" s="543">
        <f>IF(Y2&lt;=Inputs!$D$32,"PPA","Merchant")</f>
        <v/>
      </c>
      <c r="Z9" s="543">
        <f>IF(Z2&lt;=Inputs!$D$32,"PPA","Merchant")</f>
        <v/>
      </c>
      <c r="AA9" s="543">
        <f>IF(AA2&lt;=Inputs!$D$32,"PPA","Merchant")</f>
        <v/>
      </c>
      <c r="AB9" s="543">
        <f>IF(AB2&lt;=Inputs!$D$32,"PPA","Merchant")</f>
        <v/>
      </c>
      <c r="AC9" s="543">
        <f>IF(AC2&lt;=Inputs!$D$32,"PPA","Merchant")</f>
        <v/>
      </c>
      <c r="AD9" s="543">
        <f>IF(AD2&lt;=Inputs!$D$32,"PPA","Merchant")</f>
        <v/>
      </c>
      <c r="AE9" s="543">
        <f>IF(AE2&lt;=Inputs!$D$32,"PPA","Merchant")</f>
        <v/>
      </c>
      <c r="AF9" s="552">
        <f>IF(AF2&lt;=Inputs!$D$32,"PPA","Merchant")</f>
        <v/>
      </c>
    </row>
    <row r="10" ht="16.5" customFormat="1" customHeight="1" s="218">
      <c r="B10" s="253" t="inlineStr">
        <is>
          <t>Effective Energy Price — Year N ($/MWh)</t>
        </is>
      </c>
      <c r="C10" s="270">
        <f>IF(Revenue!C2&lt;=Inputs!$D$32,Revenue!C7,Revenue!C8)</f>
        <v/>
      </c>
      <c r="D10" s="270">
        <f>IF(Revenue!D2&lt;=Inputs!$D$32,Revenue!D7,Revenue!D8)</f>
        <v/>
      </c>
      <c r="E10" s="270">
        <f>IF(Revenue!E2&lt;=Inputs!$D$32,Revenue!E7,Revenue!E8)</f>
        <v/>
      </c>
      <c r="F10" s="270">
        <f>IF(Revenue!F2&lt;=Inputs!$D$32,Revenue!F7,Revenue!F8)</f>
        <v/>
      </c>
      <c r="G10" s="270">
        <f>IF(Revenue!G2&lt;=Inputs!$D$32,Revenue!G7,Revenue!G8)</f>
        <v/>
      </c>
      <c r="H10" s="270">
        <f>IF(Revenue!H2&lt;=Inputs!$D$32,Revenue!H7,Revenue!H8)</f>
        <v/>
      </c>
      <c r="I10" s="270">
        <f>IF(Revenue!I2&lt;=Inputs!$D$32,Revenue!I7,Revenue!I8)</f>
        <v/>
      </c>
      <c r="J10" s="270">
        <f>IF(Revenue!J2&lt;=Inputs!$D$32,Revenue!J7,Revenue!J8)</f>
        <v/>
      </c>
      <c r="K10" s="270">
        <f>IF(Revenue!K2&lt;=Inputs!$D$32,Revenue!K7,Revenue!K8)</f>
        <v/>
      </c>
      <c r="L10" s="270">
        <f>IF(Revenue!L2&lt;=Inputs!$D$32,Revenue!L7,Revenue!L8)</f>
        <v/>
      </c>
      <c r="M10" s="270">
        <f>IF(Revenue!M2&lt;=Inputs!$D$32,Revenue!M7,Revenue!M8)</f>
        <v/>
      </c>
      <c r="N10" s="270">
        <f>IF(Revenue!N2&lt;=Inputs!$D$32,Revenue!N7,Revenue!N8)</f>
        <v/>
      </c>
      <c r="O10" s="270">
        <f>IF(Revenue!O2&lt;=Inputs!$D$32,Revenue!O7,Revenue!O8)</f>
        <v/>
      </c>
      <c r="P10" s="270">
        <f>IF(Revenue!P2&lt;=Inputs!$D$32,Revenue!P7,Revenue!P8)</f>
        <v/>
      </c>
      <c r="Q10" s="270">
        <f>IF(Revenue!Q2&lt;=Inputs!$D$32,Revenue!Q7,Revenue!Q8)</f>
        <v/>
      </c>
      <c r="R10" s="270">
        <f>IF(Revenue!R2&lt;=Inputs!$D$32,Revenue!R7,Revenue!R8)</f>
        <v/>
      </c>
      <c r="S10" s="270">
        <f>IF(Revenue!S2&lt;=Inputs!$D$32,Revenue!S7,Revenue!S8)</f>
        <v/>
      </c>
      <c r="T10" s="270">
        <f>IF(Revenue!T2&lt;=Inputs!$D$32,Revenue!T7,Revenue!T8)</f>
        <v/>
      </c>
      <c r="U10" s="270">
        <f>IF(Revenue!U2&lt;=Inputs!$D$32,Revenue!U7,Revenue!U8)</f>
        <v/>
      </c>
      <c r="V10" s="270">
        <f>IF(Revenue!V2&lt;=Inputs!$D$32,Revenue!V7,Revenue!V8)</f>
        <v/>
      </c>
      <c r="W10" s="270">
        <f>IF(Revenue!W2&lt;=Inputs!$D$32,Revenue!W7,Revenue!W8)</f>
        <v/>
      </c>
      <c r="X10" s="270">
        <f>IF(Revenue!X2&lt;=Inputs!$D$32,Revenue!X7,Revenue!X8)</f>
        <v/>
      </c>
      <c r="Y10" s="270">
        <f>IF(Revenue!Y2&lt;=Inputs!$D$32,Revenue!Y7,Revenue!Y8)</f>
        <v/>
      </c>
      <c r="Z10" s="270">
        <f>IF(Revenue!Z2&lt;=Inputs!$D$32,Revenue!Z7,Revenue!Z8)</f>
        <v/>
      </c>
      <c r="AA10" s="270">
        <f>IF(Revenue!AA2&lt;=Inputs!$D$32,Revenue!AA7,Revenue!AA8)</f>
        <v/>
      </c>
      <c r="AB10" s="270">
        <f>IF(Revenue!AB2&lt;=Inputs!$D$32,Revenue!AB7,Revenue!AB8)</f>
        <v/>
      </c>
      <c r="AC10" s="270">
        <f>IF(Revenue!AC2&lt;=Inputs!$D$32,Revenue!AC7,Revenue!AC8)</f>
        <v/>
      </c>
      <c r="AD10" s="270">
        <f>IF(Revenue!AD2&lt;=Inputs!$D$32,Revenue!AD7,Revenue!AD8)</f>
        <v/>
      </c>
      <c r="AE10" s="270">
        <f>IF(Revenue!AE2&lt;=Inputs!$D$32,Revenue!AE7,Revenue!AE8)</f>
        <v/>
      </c>
      <c r="AF10" s="294">
        <f>IF(Revenue!AF2&lt;=Inputs!$D$32,Revenue!AF7,Revenue!AF8)</f>
        <v/>
      </c>
    </row>
    <row r="11" ht="18" customFormat="1" customHeight="1" s="218">
      <c r="B11" s="259" t="inlineStr">
        <is>
          <t>Solar Energy Revenue ($)</t>
        </is>
      </c>
      <c r="C11" s="273">
        <f>C10*C4</f>
        <v/>
      </c>
      <c r="D11" s="273">
        <f>D10*D4</f>
        <v/>
      </c>
      <c r="E11" s="273">
        <f>E10*E4</f>
        <v/>
      </c>
      <c r="F11" s="273">
        <f>F10*F4</f>
        <v/>
      </c>
      <c r="G11" s="273">
        <f>G10*G4</f>
        <v/>
      </c>
      <c r="H11" s="273">
        <f>H10*H4</f>
        <v/>
      </c>
      <c r="I11" s="273">
        <f>I10*I4</f>
        <v/>
      </c>
      <c r="J11" s="273">
        <f>J10*J4</f>
        <v/>
      </c>
      <c r="K11" s="273">
        <f>K10*K4</f>
        <v/>
      </c>
      <c r="L11" s="273">
        <f>L10*L4</f>
        <v/>
      </c>
      <c r="M11" s="273">
        <f>M10*M4</f>
        <v/>
      </c>
      <c r="N11" s="273">
        <f>N10*N4</f>
        <v/>
      </c>
      <c r="O11" s="273">
        <f>O10*O4</f>
        <v/>
      </c>
      <c r="P11" s="273">
        <f>P10*P4</f>
        <v/>
      </c>
      <c r="Q11" s="273">
        <f>Q10*Q4</f>
        <v/>
      </c>
      <c r="R11" s="273">
        <f>R10*R4</f>
        <v/>
      </c>
      <c r="S11" s="273">
        <f>S10*S4</f>
        <v/>
      </c>
      <c r="T11" s="273">
        <f>T10*T4</f>
        <v/>
      </c>
      <c r="U11" s="273">
        <f>U10*U4</f>
        <v/>
      </c>
      <c r="V11" s="273">
        <f>V10*V4</f>
        <v/>
      </c>
      <c r="W11" s="273">
        <f>W10*W4</f>
        <v/>
      </c>
      <c r="X11" s="273">
        <f>X10*X4</f>
        <v/>
      </c>
      <c r="Y11" s="273">
        <f>Y10*Y4</f>
        <v/>
      </c>
      <c r="Z11" s="273">
        <f>Z10*Z4</f>
        <v/>
      </c>
      <c r="AA11" s="273">
        <f>AA10*AA4</f>
        <v/>
      </c>
      <c r="AB11" s="273">
        <f>AB10*AB4</f>
        <v/>
      </c>
      <c r="AC11" s="273">
        <f>AC10*AC4</f>
        <v/>
      </c>
      <c r="AD11" s="273">
        <f>AD10*AD4</f>
        <v/>
      </c>
      <c r="AE11" s="273">
        <f>AE10*AE4</f>
        <v/>
      </c>
      <c r="AF11" s="273">
        <f>AF10*AF4</f>
        <v/>
      </c>
    </row>
    <row r="12" ht="16.5" customFormat="1" customHeight="1" s="144">
      <c r="B12" s="145" t="n"/>
      <c r="C12" s="146" t="n"/>
      <c r="D12" s="146" t="n"/>
      <c r="E12" s="146" t="n"/>
      <c r="F12" s="146" t="n"/>
      <c r="G12" s="146" t="n"/>
      <c r="H12" s="146" t="n"/>
      <c r="I12" s="146" t="n"/>
      <c r="J12" s="146" t="n"/>
      <c r="K12" s="146" t="n"/>
      <c r="L12" s="146" t="n"/>
      <c r="M12" s="146" t="n"/>
      <c r="N12" s="146" t="n"/>
      <c r="O12" s="146" t="n"/>
      <c r="P12" s="146" t="n"/>
      <c r="Q12" s="146" t="n"/>
      <c r="R12" s="146" t="n"/>
      <c r="S12" s="146" t="n"/>
      <c r="T12" s="146" t="n"/>
      <c r="U12" s="146" t="n"/>
      <c r="V12" s="146" t="n"/>
      <c r="W12" s="146" t="n"/>
      <c r="X12" s="146" t="n"/>
      <c r="Y12" s="146" t="n"/>
      <c r="Z12" s="146" t="n"/>
      <c r="AA12" s="146" t="n"/>
      <c r="AB12" s="146" t="n"/>
      <c r="AC12" s="146" t="n"/>
      <c r="AD12" s="146" t="n"/>
      <c r="AE12" s="146" t="n"/>
      <c r="AF12" s="146" t="n"/>
    </row>
    <row r="13" ht="16.5" customFormat="1" customHeight="1" s="165" thickBot="1">
      <c r="A13" s="82" t="inlineStr">
        <is>
          <t>BESS Block 1 - Energy Arbitrage Revenue</t>
        </is>
      </c>
      <c r="B13" s="82" t="n"/>
      <c r="C13" s="82" t="n"/>
      <c r="D13" s="82" t="n"/>
      <c r="E13" s="82" t="n"/>
      <c r="F13" s="82" t="n"/>
      <c r="G13" s="82" t="n"/>
      <c r="H13" s="82" t="n"/>
      <c r="I13" s="82" t="n"/>
      <c r="J13" s="82" t="n"/>
      <c r="K13" s="82" t="n"/>
      <c r="L13" s="82" t="n"/>
      <c r="M13" s="82" t="n"/>
      <c r="N13" s="82" t="n"/>
      <c r="O13" s="82" t="n"/>
      <c r="P13" s="82" t="n"/>
      <c r="Q13" s="82" t="n"/>
      <c r="R13" s="82" t="n"/>
      <c r="S13" s="82" t="n"/>
      <c r="T13" s="82" t="n"/>
      <c r="U13" s="82" t="n"/>
      <c r="V13" s="82" t="n"/>
      <c r="W13" s="82" t="n"/>
      <c r="X13" s="82" t="n"/>
      <c r="Y13" s="82" t="n"/>
      <c r="Z13" s="82" t="n"/>
      <c r="AA13" s="82" t="n"/>
      <c r="AB13" s="82" t="n"/>
      <c r="AC13" s="82" t="n"/>
      <c r="AD13" s="82" t="n"/>
      <c r="AE13" s="82" t="n"/>
      <c r="AF13" s="82" t="n"/>
    </row>
    <row r="14" ht="16.5" customFormat="1" customHeight="1" s="218">
      <c r="B14" s="253" t="inlineStr">
        <is>
          <t>BESS Net Discharge (MWh)</t>
        </is>
      </c>
      <c r="C14" s="545">
        <f>Energy!B19</f>
        <v/>
      </c>
      <c r="D14" s="545">
        <f>Energy!C19</f>
        <v/>
      </c>
      <c r="E14" s="545">
        <f>Energy!D19</f>
        <v/>
      </c>
      <c r="F14" s="545">
        <f>Energy!E19</f>
        <v/>
      </c>
      <c r="G14" s="545">
        <f>Energy!F19</f>
        <v/>
      </c>
      <c r="H14" s="545">
        <f>Energy!G19</f>
        <v/>
      </c>
      <c r="I14" s="545">
        <f>Energy!H19</f>
        <v/>
      </c>
      <c r="J14" s="545">
        <f>Energy!I19</f>
        <v/>
      </c>
      <c r="K14" s="545">
        <f>Energy!J19</f>
        <v/>
      </c>
      <c r="L14" s="545">
        <f>Energy!K19</f>
        <v/>
      </c>
      <c r="M14" s="545">
        <f>Energy!L19</f>
        <v/>
      </c>
      <c r="N14" s="545">
        <f>Energy!M19</f>
        <v/>
      </c>
      <c r="O14" s="545">
        <f>Energy!N19</f>
        <v/>
      </c>
      <c r="P14" s="545">
        <f>Energy!O19</f>
        <v/>
      </c>
      <c r="Q14" s="545">
        <f>Energy!P19</f>
        <v/>
      </c>
      <c r="R14" s="545">
        <f>Energy!Q19</f>
        <v/>
      </c>
      <c r="S14" s="545">
        <f>Energy!R19</f>
        <v/>
      </c>
      <c r="T14" s="545">
        <f>Energy!S19</f>
        <v/>
      </c>
      <c r="U14" s="545">
        <f>Energy!T19</f>
        <v/>
      </c>
      <c r="V14" s="545">
        <f>Energy!U19</f>
        <v/>
      </c>
      <c r="W14" s="545">
        <f>Energy!V19</f>
        <v/>
      </c>
      <c r="X14" s="545">
        <f>Energy!W19</f>
        <v/>
      </c>
      <c r="Y14" s="545">
        <f>Energy!X19</f>
        <v/>
      </c>
      <c r="Z14" s="545">
        <f>Energy!Y19</f>
        <v/>
      </c>
      <c r="AA14" s="545">
        <f>Energy!Z19</f>
        <v/>
      </c>
      <c r="AB14" s="545">
        <f>Energy!AA19</f>
        <v/>
      </c>
      <c r="AC14" s="545">
        <f>Energy!AB19</f>
        <v/>
      </c>
      <c r="AD14" s="545">
        <f>Energy!AC19</f>
        <v/>
      </c>
      <c r="AE14" s="545">
        <f>Energy!AD19</f>
        <v/>
      </c>
      <c r="AF14" s="549">
        <f>Energy!AE19</f>
        <v/>
      </c>
    </row>
    <row r="15" ht="16.5" customFormat="1" customHeight="1" s="296">
      <c r="B15" s="297" t="inlineStr">
        <is>
          <t>BESS Capacity Allocated to Arbitrage</t>
        </is>
      </c>
      <c r="C15" s="298">
        <f>Inputs!$D$39</f>
        <v/>
      </c>
      <c r="D15" s="298">
        <f>Inputs!$D$39</f>
        <v/>
      </c>
      <c r="E15" s="298">
        <f>Inputs!$D$39</f>
        <v/>
      </c>
      <c r="F15" s="298">
        <f>Inputs!$D$39</f>
        <v/>
      </c>
      <c r="G15" s="298">
        <f>Inputs!$D$39</f>
        <v/>
      </c>
      <c r="H15" s="298">
        <f>Inputs!$D$39</f>
        <v/>
      </c>
      <c r="I15" s="298">
        <f>Inputs!$D$39</f>
        <v/>
      </c>
      <c r="J15" s="298">
        <f>Inputs!$D$39</f>
        <v/>
      </c>
      <c r="K15" s="298">
        <f>Inputs!$D$39</f>
        <v/>
      </c>
      <c r="L15" s="298">
        <f>Inputs!$D$39</f>
        <v/>
      </c>
      <c r="M15" s="298">
        <f>Inputs!$D$39</f>
        <v/>
      </c>
      <c r="N15" s="298">
        <f>Inputs!$D$39</f>
        <v/>
      </c>
      <c r="O15" s="298">
        <f>Inputs!$D$39</f>
        <v/>
      </c>
      <c r="P15" s="298">
        <f>Inputs!$D$39</f>
        <v/>
      </c>
      <c r="Q15" s="298">
        <f>Inputs!$D$39</f>
        <v/>
      </c>
      <c r="R15" s="298">
        <f>Inputs!$D$39</f>
        <v/>
      </c>
      <c r="S15" s="298">
        <f>Inputs!$D$39</f>
        <v/>
      </c>
      <c r="T15" s="298">
        <f>Inputs!$D$39</f>
        <v/>
      </c>
      <c r="U15" s="298">
        <f>Inputs!$D$39</f>
        <v/>
      </c>
      <c r="V15" s="298">
        <f>Inputs!$D$39</f>
        <v/>
      </c>
      <c r="W15" s="298">
        <f>Inputs!$D$39</f>
        <v/>
      </c>
      <c r="X15" s="298">
        <f>Inputs!$D$39</f>
        <v/>
      </c>
      <c r="Y15" s="298">
        <f>Inputs!$D$39</f>
        <v/>
      </c>
      <c r="Z15" s="298">
        <f>Inputs!$D$39</f>
        <v/>
      </c>
      <c r="AA15" s="298">
        <f>Inputs!$D$39</f>
        <v/>
      </c>
      <c r="AB15" s="298">
        <f>Inputs!$D$39</f>
        <v/>
      </c>
      <c r="AC15" s="298">
        <f>Inputs!$D$39</f>
        <v/>
      </c>
      <c r="AD15" s="298">
        <f>Inputs!$D$39</f>
        <v/>
      </c>
      <c r="AE15" s="298">
        <f>Inputs!$D$39</f>
        <v/>
      </c>
      <c r="AF15" s="299">
        <f>Inputs!$D$39</f>
        <v/>
      </c>
    </row>
    <row r="16" ht="16.5" customFormat="1" customHeight="1" s="218">
      <c r="B16" s="253" t="inlineStr">
        <is>
          <t>BESS Net Discharge - Arbitrage Share (MWh)</t>
        </is>
      </c>
      <c r="C16" s="553">
        <f>C14*C15</f>
        <v/>
      </c>
      <c r="D16" s="553">
        <f>D14*D15</f>
        <v/>
      </c>
      <c r="E16" s="553">
        <f>E14*E15</f>
        <v/>
      </c>
      <c r="F16" s="553">
        <f>F14*F15</f>
        <v/>
      </c>
      <c r="G16" s="553">
        <f>G14*G15</f>
        <v/>
      </c>
      <c r="H16" s="553">
        <f>H14*H15</f>
        <v/>
      </c>
      <c r="I16" s="553">
        <f>I14*I15</f>
        <v/>
      </c>
      <c r="J16" s="553">
        <f>J14*J15</f>
        <v/>
      </c>
      <c r="K16" s="553">
        <f>K14*K15</f>
        <v/>
      </c>
      <c r="L16" s="553">
        <f>L14*L15</f>
        <v/>
      </c>
      <c r="M16" s="553">
        <f>M14*M15</f>
        <v/>
      </c>
      <c r="N16" s="553">
        <f>N14*N15</f>
        <v/>
      </c>
      <c r="O16" s="553">
        <f>O14*O15</f>
        <v/>
      </c>
      <c r="P16" s="553">
        <f>P14*P15</f>
        <v/>
      </c>
      <c r="Q16" s="553">
        <f>Q14*Q15</f>
        <v/>
      </c>
      <c r="R16" s="553">
        <f>R14*R15</f>
        <v/>
      </c>
      <c r="S16" s="553">
        <f>S14*S15</f>
        <v/>
      </c>
      <c r="T16" s="553">
        <f>T14*T15</f>
        <v/>
      </c>
      <c r="U16" s="553">
        <f>U14*U15</f>
        <v/>
      </c>
      <c r="V16" s="553">
        <f>V14*V15</f>
        <v/>
      </c>
      <c r="W16" s="553">
        <f>W14*W15</f>
        <v/>
      </c>
      <c r="X16" s="553">
        <f>X14*X15</f>
        <v/>
      </c>
      <c r="Y16" s="553">
        <f>Y14*Y15</f>
        <v/>
      </c>
      <c r="Z16" s="553">
        <f>Z14*Z15</f>
        <v/>
      </c>
      <c r="AA16" s="553">
        <f>AA14*AA15</f>
        <v/>
      </c>
      <c r="AB16" s="553">
        <f>AB14*AB15</f>
        <v/>
      </c>
      <c r="AC16" s="553">
        <f>AC14*AC15</f>
        <v/>
      </c>
      <c r="AD16" s="553">
        <f>AD14*AD15</f>
        <v/>
      </c>
      <c r="AE16" s="553">
        <f>AE14*AE15</f>
        <v/>
      </c>
      <c r="AF16" s="554">
        <f>AF14*AF15</f>
        <v/>
      </c>
    </row>
    <row r="17" ht="16.5" customFormat="1" customHeight="1" s="218">
      <c r="B17" s="251" t="inlineStr">
        <is>
          <t>Discharge Price - Year 1 ($/MWh)</t>
        </is>
      </c>
      <c r="C17" s="292">
        <f>Inputs!$D$35</f>
        <v/>
      </c>
      <c r="D17" s="292">
        <f>Inputs!$D$35</f>
        <v/>
      </c>
      <c r="E17" s="292">
        <f>Inputs!$D$35</f>
        <v/>
      </c>
      <c r="F17" s="292">
        <f>Inputs!$D$35</f>
        <v/>
      </c>
      <c r="G17" s="292">
        <f>Inputs!$D$35</f>
        <v/>
      </c>
      <c r="H17" s="292">
        <f>Inputs!$D$35</f>
        <v/>
      </c>
      <c r="I17" s="292">
        <f>Inputs!$D$35</f>
        <v/>
      </c>
      <c r="J17" s="292">
        <f>Inputs!$D$35</f>
        <v/>
      </c>
      <c r="K17" s="292">
        <f>Inputs!$D$35</f>
        <v/>
      </c>
      <c r="L17" s="292">
        <f>Inputs!$D$35</f>
        <v/>
      </c>
      <c r="M17" s="292">
        <f>Inputs!$D$35</f>
        <v/>
      </c>
      <c r="N17" s="292">
        <f>Inputs!$D$35</f>
        <v/>
      </c>
      <c r="O17" s="292">
        <f>Inputs!$D$35</f>
        <v/>
      </c>
      <c r="P17" s="292">
        <f>Inputs!$D$35</f>
        <v/>
      </c>
      <c r="Q17" s="292">
        <f>Inputs!$D$35</f>
        <v/>
      </c>
      <c r="R17" s="292">
        <f>Inputs!$D$35</f>
        <v/>
      </c>
      <c r="S17" s="292">
        <f>Inputs!$D$35</f>
        <v/>
      </c>
      <c r="T17" s="292">
        <f>Inputs!$D$35</f>
        <v/>
      </c>
      <c r="U17" s="292">
        <f>Inputs!$D$35</f>
        <v/>
      </c>
      <c r="V17" s="292">
        <f>Inputs!$D$35</f>
        <v/>
      </c>
      <c r="W17" s="292">
        <f>Inputs!$D$35</f>
        <v/>
      </c>
      <c r="X17" s="292">
        <f>Inputs!$D$35</f>
        <v/>
      </c>
      <c r="Y17" s="292">
        <f>Inputs!$D$35</f>
        <v/>
      </c>
      <c r="Z17" s="292">
        <f>Inputs!$D$35</f>
        <v/>
      </c>
      <c r="AA17" s="292">
        <f>Inputs!$D$35</f>
        <v/>
      </c>
      <c r="AB17" s="292">
        <f>Inputs!$D$35</f>
        <v/>
      </c>
      <c r="AC17" s="292">
        <f>Inputs!$D$35</f>
        <v/>
      </c>
      <c r="AD17" s="292">
        <f>Inputs!$D$35</f>
        <v/>
      </c>
      <c r="AE17" s="292">
        <f>Inputs!$D$35</f>
        <v/>
      </c>
      <c r="AF17" s="292">
        <f>Inputs!$D$35</f>
        <v/>
      </c>
    </row>
    <row r="18" ht="16.5" customFormat="1" customHeight="1" s="218">
      <c r="B18" s="253" t="inlineStr">
        <is>
          <t>Discharge Price Escalator Factor</t>
        </is>
      </c>
      <c r="C18" s="555">
        <f>(1+Inputs!$D$36)^(Revenue!C2-1)</f>
        <v/>
      </c>
      <c r="D18" s="555">
        <f>(1+Inputs!$D$36)^(Revenue!D2-1)</f>
        <v/>
      </c>
      <c r="E18" s="555">
        <f>(1+Inputs!$D$36)^(Revenue!E2-1)</f>
        <v/>
      </c>
      <c r="F18" s="555">
        <f>(1+Inputs!$D$36)^(Revenue!F2-1)</f>
        <v/>
      </c>
      <c r="G18" s="555">
        <f>(1+Inputs!$D$36)^(Revenue!G2-1)</f>
        <v/>
      </c>
      <c r="H18" s="555">
        <f>(1+Inputs!$D$36)^(Revenue!H2-1)</f>
        <v/>
      </c>
      <c r="I18" s="555">
        <f>(1+Inputs!$D$36)^(Revenue!I2-1)</f>
        <v/>
      </c>
      <c r="J18" s="555">
        <f>(1+Inputs!$D$36)^(Revenue!J2-1)</f>
        <v/>
      </c>
      <c r="K18" s="555">
        <f>(1+Inputs!$D$36)^(Revenue!K2-1)</f>
        <v/>
      </c>
      <c r="L18" s="555">
        <f>(1+Inputs!$D$36)^(Revenue!L2-1)</f>
        <v/>
      </c>
      <c r="M18" s="555">
        <f>(1+Inputs!$D$36)^(Revenue!M2-1)</f>
        <v/>
      </c>
      <c r="N18" s="555">
        <f>(1+Inputs!$D$36)^(Revenue!N2-1)</f>
        <v/>
      </c>
      <c r="O18" s="555">
        <f>(1+Inputs!$D$36)^(Revenue!O2-1)</f>
        <v/>
      </c>
      <c r="P18" s="555">
        <f>(1+Inputs!$D$36)^(Revenue!P2-1)</f>
        <v/>
      </c>
      <c r="Q18" s="555">
        <f>(1+Inputs!$D$36)^(Revenue!Q2-1)</f>
        <v/>
      </c>
      <c r="R18" s="555">
        <f>(1+Inputs!$D$36)^(Revenue!R2-1)</f>
        <v/>
      </c>
      <c r="S18" s="555">
        <f>(1+Inputs!$D$36)^(Revenue!S2-1)</f>
        <v/>
      </c>
      <c r="T18" s="555">
        <f>(1+Inputs!$D$36)^(Revenue!T2-1)</f>
        <v/>
      </c>
      <c r="U18" s="555">
        <f>(1+Inputs!$D$36)^(Revenue!U2-1)</f>
        <v/>
      </c>
      <c r="V18" s="555">
        <f>(1+Inputs!$D$36)^(Revenue!V2-1)</f>
        <v/>
      </c>
      <c r="W18" s="555">
        <f>(1+Inputs!$D$36)^(Revenue!W2-1)</f>
        <v/>
      </c>
      <c r="X18" s="555">
        <f>(1+Inputs!$D$36)^(Revenue!X2-1)</f>
        <v/>
      </c>
      <c r="Y18" s="555">
        <f>(1+Inputs!$D$36)^(Revenue!Y2-1)</f>
        <v/>
      </c>
      <c r="Z18" s="555">
        <f>(1+Inputs!$D$36)^(Revenue!Z2-1)</f>
        <v/>
      </c>
      <c r="AA18" s="555">
        <f>(1+Inputs!$D$36)^(Revenue!AA2-1)</f>
        <v/>
      </c>
      <c r="AB18" s="555">
        <f>(1+Inputs!$D$36)^(Revenue!AB2-1)</f>
        <v/>
      </c>
      <c r="AC18" s="555">
        <f>(1+Inputs!$D$36)^(Revenue!AC2-1)</f>
        <v/>
      </c>
      <c r="AD18" s="555">
        <f>(1+Inputs!$D$36)^(Revenue!AD2-1)</f>
        <v/>
      </c>
      <c r="AE18" s="555">
        <f>(1+Inputs!$D$36)^(Revenue!AE2-1)</f>
        <v/>
      </c>
      <c r="AF18" s="556">
        <f>(1+Inputs!$D$36)^(Revenue!AF2-1)</f>
        <v/>
      </c>
    </row>
    <row r="19" ht="16.5" customFormat="1" customHeight="1" s="218">
      <c r="B19" s="251" t="inlineStr">
        <is>
          <t>Discharge Price - Year N ($/MWh)</t>
        </is>
      </c>
      <c r="C19" s="292">
        <f>C17*C18</f>
        <v/>
      </c>
      <c r="D19" s="292">
        <f>D17*D18</f>
        <v/>
      </c>
      <c r="E19" s="292">
        <f>E17*E18</f>
        <v/>
      </c>
      <c r="F19" s="292">
        <f>F17*F18</f>
        <v/>
      </c>
      <c r="G19" s="292">
        <f>G17*G18</f>
        <v/>
      </c>
      <c r="H19" s="292">
        <f>H17*H18</f>
        <v/>
      </c>
      <c r="I19" s="292">
        <f>I17*I18</f>
        <v/>
      </c>
      <c r="J19" s="292">
        <f>J17*J18</f>
        <v/>
      </c>
      <c r="K19" s="292">
        <f>K17*K18</f>
        <v/>
      </c>
      <c r="L19" s="292">
        <f>L17*L18</f>
        <v/>
      </c>
      <c r="M19" s="292">
        <f>M17*M18</f>
        <v/>
      </c>
      <c r="N19" s="292">
        <f>N17*N18</f>
        <v/>
      </c>
      <c r="O19" s="292">
        <f>O17*O18</f>
        <v/>
      </c>
      <c r="P19" s="292">
        <f>P17*P18</f>
        <v/>
      </c>
      <c r="Q19" s="292">
        <f>Q17*Q18</f>
        <v/>
      </c>
      <c r="R19" s="292">
        <f>R17*R18</f>
        <v/>
      </c>
      <c r="S19" s="292">
        <f>S17*S18</f>
        <v/>
      </c>
      <c r="T19" s="292">
        <f>T17*T18</f>
        <v/>
      </c>
      <c r="U19" s="292">
        <f>U17*U18</f>
        <v/>
      </c>
      <c r="V19" s="292">
        <f>V17*V18</f>
        <v/>
      </c>
      <c r="W19" s="292">
        <f>W17*W18</f>
        <v/>
      </c>
      <c r="X19" s="292">
        <f>X17*X18</f>
        <v/>
      </c>
      <c r="Y19" s="292">
        <f>Y17*Y18</f>
        <v/>
      </c>
      <c r="Z19" s="292">
        <f>Z17*Z18</f>
        <v/>
      </c>
      <c r="AA19" s="292">
        <f>AA17*AA18</f>
        <v/>
      </c>
      <c r="AB19" s="292">
        <f>AB17*AB18</f>
        <v/>
      </c>
      <c r="AC19" s="292">
        <f>AC17*AC18</f>
        <v/>
      </c>
      <c r="AD19" s="292">
        <f>AD17*AD18</f>
        <v/>
      </c>
      <c r="AE19" s="292">
        <f>AE17*AE18</f>
        <v/>
      </c>
      <c r="AF19" s="292">
        <f>AF17*AF18</f>
        <v/>
      </c>
    </row>
    <row r="20" ht="16.5" customFormat="1" customHeight="1" s="218">
      <c r="B20" s="253" t="inlineStr">
        <is>
          <t>Grid Purchase Price - Year 1 ($/MWh)</t>
        </is>
      </c>
      <c r="C20" s="270">
        <f>Inputs!$D$37</f>
        <v/>
      </c>
      <c r="D20" s="270">
        <f>Inputs!$D$37</f>
        <v/>
      </c>
      <c r="E20" s="270">
        <f>Inputs!$D$37</f>
        <v/>
      </c>
      <c r="F20" s="270">
        <f>Inputs!$D$37</f>
        <v/>
      </c>
      <c r="G20" s="270">
        <f>Inputs!$D$37</f>
        <v/>
      </c>
      <c r="H20" s="270">
        <f>Inputs!$D$37</f>
        <v/>
      </c>
      <c r="I20" s="270">
        <f>Inputs!$D$37</f>
        <v/>
      </c>
      <c r="J20" s="270">
        <f>Inputs!$D$37</f>
        <v/>
      </c>
      <c r="K20" s="270">
        <f>Inputs!$D$37</f>
        <v/>
      </c>
      <c r="L20" s="270">
        <f>Inputs!$D$37</f>
        <v/>
      </c>
      <c r="M20" s="270">
        <f>Inputs!$D$37</f>
        <v/>
      </c>
      <c r="N20" s="270">
        <f>Inputs!$D$37</f>
        <v/>
      </c>
      <c r="O20" s="270">
        <f>Inputs!$D$37</f>
        <v/>
      </c>
      <c r="P20" s="270">
        <f>Inputs!$D$37</f>
        <v/>
      </c>
      <c r="Q20" s="270">
        <f>Inputs!$D$37</f>
        <v/>
      </c>
      <c r="R20" s="270">
        <f>Inputs!$D$37</f>
        <v/>
      </c>
      <c r="S20" s="270">
        <f>Inputs!$D$37</f>
        <v/>
      </c>
      <c r="T20" s="270">
        <f>Inputs!$D$37</f>
        <v/>
      </c>
      <c r="U20" s="270">
        <f>Inputs!$D$37</f>
        <v/>
      </c>
      <c r="V20" s="270">
        <f>Inputs!$D$37</f>
        <v/>
      </c>
      <c r="W20" s="270">
        <f>Inputs!$D$37</f>
        <v/>
      </c>
      <c r="X20" s="270">
        <f>Inputs!$D$37</f>
        <v/>
      </c>
      <c r="Y20" s="270">
        <f>Inputs!$D$37</f>
        <v/>
      </c>
      <c r="Z20" s="270">
        <f>Inputs!$D$37</f>
        <v/>
      </c>
      <c r="AA20" s="270">
        <f>Inputs!$D$37</f>
        <v/>
      </c>
      <c r="AB20" s="270">
        <f>Inputs!$D$37</f>
        <v/>
      </c>
      <c r="AC20" s="270">
        <f>Inputs!$D$37</f>
        <v/>
      </c>
      <c r="AD20" s="270">
        <f>Inputs!$D$37</f>
        <v/>
      </c>
      <c r="AE20" s="270">
        <f>Inputs!$D$37</f>
        <v/>
      </c>
      <c r="AF20" s="270">
        <f>Inputs!$D$37</f>
        <v/>
      </c>
    </row>
    <row r="21" ht="16.5" customFormat="1" customHeight="1" s="218">
      <c r="B21" s="251" t="inlineStr">
        <is>
          <t>Grid Purchase Price Escalator Factor</t>
        </is>
      </c>
      <c r="C21" s="557">
        <f>(1+Inputs!$D$38)^(Revenue!C2-1)</f>
        <v/>
      </c>
      <c r="D21" s="557">
        <f>(1+Inputs!$D$38)^(Revenue!D2-1)</f>
        <v/>
      </c>
      <c r="E21" s="557">
        <f>(1+Inputs!$D$38)^(Revenue!E2-1)</f>
        <v/>
      </c>
      <c r="F21" s="557">
        <f>(1+Inputs!$D$38)^(Revenue!F2-1)</f>
        <v/>
      </c>
      <c r="G21" s="557">
        <f>(1+Inputs!$D$38)^(Revenue!G2-1)</f>
        <v/>
      </c>
      <c r="H21" s="557">
        <f>(1+Inputs!$D$38)^(Revenue!H2-1)</f>
        <v/>
      </c>
      <c r="I21" s="557">
        <f>(1+Inputs!$D$38)^(Revenue!I2-1)</f>
        <v/>
      </c>
      <c r="J21" s="557">
        <f>(1+Inputs!$D$38)^(Revenue!J2-1)</f>
        <v/>
      </c>
      <c r="K21" s="557">
        <f>(1+Inputs!$D$38)^(Revenue!K2-1)</f>
        <v/>
      </c>
      <c r="L21" s="557">
        <f>(1+Inputs!$D$38)^(Revenue!L2-1)</f>
        <v/>
      </c>
      <c r="M21" s="557">
        <f>(1+Inputs!$D$38)^(Revenue!M2-1)</f>
        <v/>
      </c>
      <c r="N21" s="557">
        <f>(1+Inputs!$D$38)^(Revenue!N2-1)</f>
        <v/>
      </c>
      <c r="O21" s="557">
        <f>(1+Inputs!$D$38)^(Revenue!O2-1)</f>
        <v/>
      </c>
      <c r="P21" s="557">
        <f>(1+Inputs!$D$38)^(Revenue!P2-1)</f>
        <v/>
      </c>
      <c r="Q21" s="557">
        <f>(1+Inputs!$D$38)^(Revenue!Q2-1)</f>
        <v/>
      </c>
      <c r="R21" s="557">
        <f>(1+Inputs!$D$38)^(Revenue!R2-1)</f>
        <v/>
      </c>
      <c r="S21" s="557">
        <f>(1+Inputs!$D$38)^(Revenue!S2-1)</f>
        <v/>
      </c>
      <c r="T21" s="557">
        <f>(1+Inputs!$D$38)^(Revenue!T2-1)</f>
        <v/>
      </c>
      <c r="U21" s="557">
        <f>(1+Inputs!$D$38)^(Revenue!U2-1)</f>
        <v/>
      </c>
      <c r="V21" s="557">
        <f>(1+Inputs!$D$38)^(Revenue!V2-1)</f>
        <v/>
      </c>
      <c r="W21" s="557">
        <f>(1+Inputs!$D$38)^(Revenue!W2-1)</f>
        <v/>
      </c>
      <c r="X21" s="557">
        <f>(1+Inputs!$D$38)^(Revenue!X2-1)</f>
        <v/>
      </c>
      <c r="Y21" s="557">
        <f>(1+Inputs!$D$38)^(Revenue!Y2-1)</f>
        <v/>
      </c>
      <c r="Z21" s="557">
        <f>(1+Inputs!$D$38)^(Revenue!Z2-1)</f>
        <v/>
      </c>
      <c r="AA21" s="557">
        <f>(1+Inputs!$D$38)^(Revenue!AA2-1)</f>
        <v/>
      </c>
      <c r="AB21" s="557">
        <f>(1+Inputs!$D$38)^(Revenue!AB2-1)</f>
        <v/>
      </c>
      <c r="AC21" s="557">
        <f>(1+Inputs!$D$38)^(Revenue!AC2-1)</f>
        <v/>
      </c>
      <c r="AD21" s="557">
        <f>(1+Inputs!$D$38)^(Revenue!AD2-1)</f>
        <v/>
      </c>
      <c r="AE21" s="557">
        <f>(1+Inputs!$D$38)^(Revenue!AE2-1)</f>
        <v/>
      </c>
      <c r="AF21" s="558">
        <f>(1+Inputs!$D$38)^(Revenue!AF2-1)</f>
        <v/>
      </c>
    </row>
    <row r="22" ht="16.5" customFormat="1" customHeight="1" s="218">
      <c r="B22" s="253" t="inlineStr">
        <is>
          <t>Grid Purchase Price - Year N ($/MWh)</t>
        </is>
      </c>
      <c r="C22" s="270">
        <f>C20*C21</f>
        <v/>
      </c>
      <c r="D22" s="270">
        <f>D20*D21</f>
        <v/>
      </c>
      <c r="E22" s="270">
        <f>E20*E21</f>
        <v/>
      </c>
      <c r="F22" s="270">
        <f>F20*F21</f>
        <v/>
      </c>
      <c r="G22" s="270">
        <f>G20*G21</f>
        <v/>
      </c>
      <c r="H22" s="270">
        <f>H20*H21</f>
        <v/>
      </c>
      <c r="I22" s="270">
        <f>I20*I21</f>
        <v/>
      </c>
      <c r="J22" s="270">
        <f>J20*J21</f>
        <v/>
      </c>
      <c r="K22" s="270">
        <f>K20*K21</f>
        <v/>
      </c>
      <c r="L22" s="270">
        <f>L20*L21</f>
        <v/>
      </c>
      <c r="M22" s="270">
        <f>M20*M21</f>
        <v/>
      </c>
      <c r="N22" s="270">
        <f>N20*N21</f>
        <v/>
      </c>
      <c r="O22" s="270">
        <f>O20*O21</f>
        <v/>
      </c>
      <c r="P22" s="270">
        <f>P20*P21</f>
        <v/>
      </c>
      <c r="Q22" s="270">
        <f>Q20*Q21</f>
        <v/>
      </c>
      <c r="R22" s="270">
        <f>R20*R21</f>
        <v/>
      </c>
      <c r="S22" s="270">
        <f>S20*S21</f>
        <v/>
      </c>
      <c r="T22" s="270">
        <f>T20*T21</f>
        <v/>
      </c>
      <c r="U22" s="270">
        <f>U20*U21</f>
        <v/>
      </c>
      <c r="V22" s="270">
        <f>V20*V21</f>
        <v/>
      </c>
      <c r="W22" s="270">
        <f>W20*W21</f>
        <v/>
      </c>
      <c r="X22" s="270">
        <f>X20*X21</f>
        <v/>
      </c>
      <c r="Y22" s="270">
        <f>Y20*Y21</f>
        <v/>
      </c>
      <c r="Z22" s="270">
        <f>Z20*Z21</f>
        <v/>
      </c>
      <c r="AA22" s="270">
        <f>AA20*AA21</f>
        <v/>
      </c>
      <c r="AB22" s="270">
        <f>AB20*AB21</f>
        <v/>
      </c>
      <c r="AC22" s="270">
        <f>AC20*AC21</f>
        <v/>
      </c>
      <c r="AD22" s="270">
        <f>AD20*AD21</f>
        <v/>
      </c>
      <c r="AE22" s="270">
        <f>AE20*AE21</f>
        <v/>
      </c>
      <c r="AF22" s="270">
        <f>AF20*AF21</f>
        <v/>
      </c>
    </row>
    <row r="23" ht="16.5" customFormat="1" customHeight="1" s="218">
      <c r="B23" s="251" t="inlineStr">
        <is>
          <t>RTE Adjustment Factor</t>
        </is>
      </c>
      <c r="C23" s="557">
        <f>1/Inputs!$D$25</f>
        <v/>
      </c>
      <c r="D23" s="557">
        <f>1/Inputs!$D$25</f>
        <v/>
      </c>
      <c r="E23" s="557">
        <f>1/Inputs!$D$25</f>
        <v/>
      </c>
      <c r="F23" s="557">
        <f>1/Inputs!$D$25</f>
        <v/>
      </c>
      <c r="G23" s="557">
        <f>1/Inputs!$D$25</f>
        <v/>
      </c>
      <c r="H23" s="557">
        <f>1/Inputs!$D$25</f>
        <v/>
      </c>
      <c r="I23" s="557">
        <f>1/Inputs!$D$25</f>
        <v/>
      </c>
      <c r="J23" s="557">
        <f>1/Inputs!$D$25</f>
        <v/>
      </c>
      <c r="K23" s="557">
        <f>1/Inputs!$D$25</f>
        <v/>
      </c>
      <c r="L23" s="557">
        <f>1/Inputs!$D$25</f>
        <v/>
      </c>
      <c r="M23" s="557">
        <f>1/Inputs!$D$25</f>
        <v/>
      </c>
      <c r="N23" s="557">
        <f>1/Inputs!$D$25</f>
        <v/>
      </c>
      <c r="O23" s="557">
        <f>1/Inputs!$D$25</f>
        <v/>
      </c>
      <c r="P23" s="557">
        <f>1/Inputs!$D$25</f>
        <v/>
      </c>
      <c r="Q23" s="557">
        <f>1/Inputs!$D$25</f>
        <v/>
      </c>
      <c r="R23" s="557">
        <f>1/Inputs!$D$25</f>
        <v/>
      </c>
      <c r="S23" s="557">
        <f>1/Inputs!$D$25</f>
        <v/>
      </c>
      <c r="T23" s="557">
        <f>1/Inputs!$D$25</f>
        <v/>
      </c>
      <c r="U23" s="557">
        <f>1/Inputs!$D$25</f>
        <v/>
      </c>
      <c r="V23" s="557">
        <f>1/Inputs!$D$25</f>
        <v/>
      </c>
      <c r="W23" s="557">
        <f>1/Inputs!$D$25</f>
        <v/>
      </c>
      <c r="X23" s="557">
        <f>1/Inputs!$D$25</f>
        <v/>
      </c>
      <c r="Y23" s="557">
        <f>1/Inputs!$D$25</f>
        <v/>
      </c>
      <c r="Z23" s="557">
        <f>1/Inputs!$D$25</f>
        <v/>
      </c>
      <c r="AA23" s="557">
        <f>1/Inputs!$D$25</f>
        <v/>
      </c>
      <c r="AB23" s="557">
        <f>1/Inputs!$D$25</f>
        <v/>
      </c>
      <c r="AC23" s="557">
        <f>1/Inputs!$D$25</f>
        <v/>
      </c>
      <c r="AD23" s="557">
        <f>1/Inputs!$D$25</f>
        <v/>
      </c>
      <c r="AE23" s="557">
        <f>1/Inputs!$D$25</f>
        <v/>
      </c>
      <c r="AF23" s="558">
        <f>1/Inputs!$D$25</f>
        <v/>
      </c>
    </row>
    <row r="24" ht="16.5" customFormat="1" customHeight="1" s="218">
      <c r="B24" s="253" t="inlineStr">
        <is>
          <t>Charging Cost per MWh Delivered - Year N ($/MWh)</t>
        </is>
      </c>
      <c r="C24" s="270">
        <f>C22*C23</f>
        <v/>
      </c>
      <c r="D24" s="270">
        <f>D22*D23</f>
        <v/>
      </c>
      <c r="E24" s="270">
        <f>E22*E23</f>
        <v/>
      </c>
      <c r="F24" s="270">
        <f>F22*F23</f>
        <v/>
      </c>
      <c r="G24" s="270">
        <f>G22*G23</f>
        <v/>
      </c>
      <c r="H24" s="270">
        <f>H22*H23</f>
        <v/>
      </c>
      <c r="I24" s="270">
        <f>I22*I23</f>
        <v/>
      </c>
      <c r="J24" s="270">
        <f>J22*J23</f>
        <v/>
      </c>
      <c r="K24" s="270">
        <f>K22*K23</f>
        <v/>
      </c>
      <c r="L24" s="270">
        <f>L22*L23</f>
        <v/>
      </c>
      <c r="M24" s="270">
        <f>M22*M23</f>
        <v/>
      </c>
      <c r="N24" s="270">
        <f>N22*N23</f>
        <v/>
      </c>
      <c r="O24" s="270">
        <f>O22*O23</f>
        <v/>
      </c>
      <c r="P24" s="270">
        <f>P22*P23</f>
        <v/>
      </c>
      <c r="Q24" s="270">
        <f>Q22*Q23</f>
        <v/>
      </c>
      <c r="R24" s="270">
        <f>R22*R23</f>
        <v/>
      </c>
      <c r="S24" s="270">
        <f>S22*S23</f>
        <v/>
      </c>
      <c r="T24" s="270">
        <f>T22*T23</f>
        <v/>
      </c>
      <c r="U24" s="270">
        <f>U22*U23</f>
        <v/>
      </c>
      <c r="V24" s="270">
        <f>V22*V23</f>
        <v/>
      </c>
      <c r="W24" s="270">
        <f>W22*W23</f>
        <v/>
      </c>
      <c r="X24" s="270">
        <f>X22*X23</f>
        <v/>
      </c>
      <c r="Y24" s="270">
        <f>Y22*Y23</f>
        <v/>
      </c>
      <c r="Z24" s="270">
        <f>Z22*Z23</f>
        <v/>
      </c>
      <c r="AA24" s="270">
        <f>AA22*AA23</f>
        <v/>
      </c>
      <c r="AB24" s="270">
        <f>AB22*AB23</f>
        <v/>
      </c>
      <c r="AC24" s="270">
        <f>AC22*AC23</f>
        <v/>
      </c>
      <c r="AD24" s="270">
        <f>AD22*AD23</f>
        <v/>
      </c>
      <c r="AE24" s="270">
        <f>AE22*AE23</f>
        <v/>
      </c>
      <c r="AF24" s="270">
        <f>AF22*AF23</f>
        <v/>
      </c>
    </row>
    <row r="25" ht="16.5" customFormat="1" customHeight="1" s="218">
      <c r="B25" s="251" t="inlineStr">
        <is>
          <t>Curtailment Share of Charging (%)</t>
        </is>
      </c>
      <c r="C25" s="288">
        <f>Energy!B15/Energy!B17</f>
        <v/>
      </c>
      <c r="D25" s="288">
        <f>Energy!C15/Energy!C17</f>
        <v/>
      </c>
      <c r="E25" s="288">
        <f>Energy!D15/Energy!D17</f>
        <v/>
      </c>
      <c r="F25" s="288">
        <f>Energy!E15/Energy!E17</f>
        <v/>
      </c>
      <c r="G25" s="288">
        <f>Energy!F15/Energy!F17</f>
        <v/>
      </c>
      <c r="H25" s="288">
        <f>Energy!G15/Energy!G17</f>
        <v/>
      </c>
      <c r="I25" s="288">
        <f>Energy!H15/Energy!H17</f>
        <v/>
      </c>
      <c r="J25" s="288">
        <f>Energy!I15/Energy!I17</f>
        <v/>
      </c>
      <c r="K25" s="288">
        <f>Energy!J15/Energy!J17</f>
        <v/>
      </c>
      <c r="L25" s="288">
        <f>Energy!K15/Energy!K17</f>
        <v/>
      </c>
      <c r="M25" s="288">
        <f>Energy!L15/Energy!L17</f>
        <v/>
      </c>
      <c r="N25" s="288">
        <f>Energy!M15/Energy!M17</f>
        <v/>
      </c>
      <c r="O25" s="288">
        <f>Energy!N15/Energy!N17</f>
        <v/>
      </c>
      <c r="P25" s="288">
        <f>Energy!O15/Energy!O17</f>
        <v/>
      </c>
      <c r="Q25" s="288">
        <f>Energy!P15/Energy!P17</f>
        <v/>
      </c>
      <c r="R25" s="288">
        <f>Energy!Q15/Energy!Q17</f>
        <v/>
      </c>
      <c r="S25" s="288">
        <f>Energy!R15/Energy!R17</f>
        <v/>
      </c>
      <c r="T25" s="288">
        <f>Energy!S15/Energy!S17</f>
        <v/>
      </c>
      <c r="U25" s="288">
        <f>Energy!T15/Energy!T17</f>
        <v/>
      </c>
      <c r="V25" s="288">
        <f>Energy!U15/Energy!U17</f>
        <v/>
      </c>
      <c r="W25" s="288">
        <f>Energy!V15/Energy!V17</f>
        <v/>
      </c>
      <c r="X25" s="288">
        <f>Energy!W15/Energy!W17</f>
        <v/>
      </c>
      <c r="Y25" s="288">
        <f>Energy!X15/Energy!X17</f>
        <v/>
      </c>
      <c r="Z25" s="288">
        <f>Energy!Y15/Energy!Y17</f>
        <v/>
      </c>
      <c r="AA25" s="288">
        <f>Energy!Z15/Energy!Z17</f>
        <v/>
      </c>
      <c r="AB25" s="288">
        <f>Energy!AA15/Energy!AA17</f>
        <v/>
      </c>
      <c r="AC25" s="288">
        <f>Energy!AB15/Energy!AB17</f>
        <v/>
      </c>
      <c r="AD25" s="288">
        <f>Energy!AC15/Energy!AC17</f>
        <v/>
      </c>
      <c r="AE25" s="288">
        <f>Energy!AD15/Energy!AD17</f>
        <v/>
      </c>
      <c r="AF25" s="289">
        <f>Energy!AE15/Energy!AE17</f>
        <v/>
      </c>
    </row>
    <row r="26" ht="16.5" customFormat="1" customHeight="1" s="218">
      <c r="B26" s="253" t="inlineStr">
        <is>
          <t>Grid Charging Share (%)</t>
        </is>
      </c>
      <c r="C26" s="306">
        <f>1-C25</f>
        <v/>
      </c>
      <c r="D26" s="306">
        <f>1-D25</f>
        <v/>
      </c>
      <c r="E26" s="306">
        <f>1-E25</f>
        <v/>
      </c>
      <c r="F26" s="306">
        <f>1-F25</f>
        <v/>
      </c>
      <c r="G26" s="306">
        <f>1-G25</f>
        <v/>
      </c>
      <c r="H26" s="306">
        <f>1-H25</f>
        <v/>
      </c>
      <c r="I26" s="306">
        <f>1-I25</f>
        <v/>
      </c>
      <c r="J26" s="306">
        <f>1-J25</f>
        <v/>
      </c>
      <c r="K26" s="306">
        <f>1-K25</f>
        <v/>
      </c>
      <c r="L26" s="306">
        <f>1-L25</f>
        <v/>
      </c>
      <c r="M26" s="306">
        <f>1-M25</f>
        <v/>
      </c>
      <c r="N26" s="306">
        <f>1-N25</f>
        <v/>
      </c>
      <c r="O26" s="306">
        <f>1-O25</f>
        <v/>
      </c>
      <c r="P26" s="306">
        <f>1-P25</f>
        <v/>
      </c>
      <c r="Q26" s="306">
        <f>1-Q25</f>
        <v/>
      </c>
      <c r="R26" s="306">
        <f>1-R25</f>
        <v/>
      </c>
      <c r="S26" s="306">
        <f>1-S25</f>
        <v/>
      </c>
      <c r="T26" s="306">
        <f>1-T25</f>
        <v/>
      </c>
      <c r="U26" s="306">
        <f>1-U25</f>
        <v/>
      </c>
      <c r="V26" s="306">
        <f>1-V25</f>
        <v/>
      </c>
      <c r="W26" s="306">
        <f>1-W25</f>
        <v/>
      </c>
      <c r="X26" s="306">
        <f>1-X25</f>
        <v/>
      </c>
      <c r="Y26" s="306">
        <f>1-Y25</f>
        <v/>
      </c>
      <c r="Z26" s="306">
        <f>1-Z25</f>
        <v/>
      </c>
      <c r="AA26" s="306">
        <f>1-AA25</f>
        <v/>
      </c>
      <c r="AB26" s="306">
        <f>1-AB25</f>
        <v/>
      </c>
      <c r="AC26" s="306">
        <f>1-AC25</f>
        <v/>
      </c>
      <c r="AD26" s="306">
        <f>1-AD25</f>
        <v/>
      </c>
      <c r="AE26" s="306">
        <f>1-AE25</f>
        <v/>
      </c>
      <c r="AF26" s="307">
        <f>1-AF25</f>
        <v/>
      </c>
    </row>
    <row r="27" ht="16.5" customFormat="1" customHeight="1" s="218">
      <c r="B27" s="251" t="inlineStr">
        <is>
          <t>Blended Charging Cost ($/MWh)</t>
        </is>
      </c>
      <c r="C27" s="292">
        <f>C26*C24</f>
        <v/>
      </c>
      <c r="D27" s="292">
        <f>D26*D24</f>
        <v/>
      </c>
      <c r="E27" s="292">
        <f>E26*E24</f>
        <v/>
      </c>
      <c r="F27" s="292">
        <f>F26*F24</f>
        <v/>
      </c>
      <c r="G27" s="292">
        <f>G26*G24</f>
        <v/>
      </c>
      <c r="H27" s="292">
        <f>H26*H24</f>
        <v/>
      </c>
      <c r="I27" s="292">
        <f>I26*I24</f>
        <v/>
      </c>
      <c r="J27" s="292">
        <f>J26*J24</f>
        <v/>
      </c>
      <c r="K27" s="292">
        <f>K26*K24</f>
        <v/>
      </c>
      <c r="L27" s="292">
        <f>L26*L24</f>
        <v/>
      </c>
      <c r="M27" s="292">
        <f>M26*M24</f>
        <v/>
      </c>
      <c r="N27" s="292">
        <f>N26*N24</f>
        <v/>
      </c>
      <c r="O27" s="292">
        <f>O26*O24</f>
        <v/>
      </c>
      <c r="P27" s="292">
        <f>P26*P24</f>
        <v/>
      </c>
      <c r="Q27" s="292">
        <f>Q26*Q24</f>
        <v/>
      </c>
      <c r="R27" s="292">
        <f>R26*R24</f>
        <v/>
      </c>
      <c r="S27" s="292">
        <f>S26*S24</f>
        <v/>
      </c>
      <c r="T27" s="292">
        <f>T26*T24</f>
        <v/>
      </c>
      <c r="U27" s="292">
        <f>U26*U24</f>
        <v/>
      </c>
      <c r="V27" s="292">
        <f>V26*V24</f>
        <v/>
      </c>
      <c r="W27" s="292">
        <f>W26*W24</f>
        <v/>
      </c>
      <c r="X27" s="292">
        <f>X26*X24</f>
        <v/>
      </c>
      <c r="Y27" s="292">
        <f>Y26*Y24</f>
        <v/>
      </c>
      <c r="Z27" s="292">
        <f>Z26*Z24</f>
        <v/>
      </c>
      <c r="AA27" s="292">
        <f>AA26*AA24</f>
        <v/>
      </c>
      <c r="AB27" s="292">
        <f>AB26*AB24</f>
        <v/>
      </c>
      <c r="AC27" s="292">
        <f>AC26*AC24</f>
        <v/>
      </c>
      <c r="AD27" s="292">
        <f>AD26*AD24</f>
        <v/>
      </c>
      <c r="AE27" s="292">
        <f>AE26*AE24</f>
        <v/>
      </c>
      <c r="AF27" s="292">
        <f>AF26*AF24</f>
        <v/>
      </c>
    </row>
    <row r="28" ht="16.5" customFormat="1" customHeight="1" s="218">
      <c r="B28" s="253" t="inlineStr">
        <is>
          <t>Gross Arbitrage Spread - Year N ($/MWh)</t>
        </is>
      </c>
      <c r="C28" s="270">
        <f>C19-C27</f>
        <v/>
      </c>
      <c r="D28" s="270">
        <f>D19-D27</f>
        <v/>
      </c>
      <c r="E28" s="270">
        <f>E19-E27</f>
        <v/>
      </c>
      <c r="F28" s="270">
        <f>F19-F27</f>
        <v/>
      </c>
      <c r="G28" s="270">
        <f>G19-G27</f>
        <v/>
      </c>
      <c r="H28" s="270">
        <f>H19-H27</f>
        <v/>
      </c>
      <c r="I28" s="270">
        <f>I19-I27</f>
        <v/>
      </c>
      <c r="J28" s="270">
        <f>J19-J27</f>
        <v/>
      </c>
      <c r="K28" s="270">
        <f>K19-K27</f>
        <v/>
      </c>
      <c r="L28" s="270">
        <f>L19-L27</f>
        <v/>
      </c>
      <c r="M28" s="270">
        <f>M19-M27</f>
        <v/>
      </c>
      <c r="N28" s="270">
        <f>N19-N27</f>
        <v/>
      </c>
      <c r="O28" s="270">
        <f>O19-O27</f>
        <v/>
      </c>
      <c r="P28" s="270">
        <f>P19-P27</f>
        <v/>
      </c>
      <c r="Q28" s="270">
        <f>Q19-Q27</f>
        <v/>
      </c>
      <c r="R28" s="270">
        <f>R19-R27</f>
        <v/>
      </c>
      <c r="S28" s="270">
        <f>S19-S27</f>
        <v/>
      </c>
      <c r="T28" s="270">
        <f>T19-T27</f>
        <v/>
      </c>
      <c r="U28" s="270">
        <f>U19-U27</f>
        <v/>
      </c>
      <c r="V28" s="270">
        <f>V19-V27</f>
        <v/>
      </c>
      <c r="W28" s="270">
        <f>W19-W27</f>
        <v/>
      </c>
      <c r="X28" s="270">
        <f>X19-X27</f>
        <v/>
      </c>
      <c r="Y28" s="270">
        <f>Y19-Y27</f>
        <v/>
      </c>
      <c r="Z28" s="270">
        <f>Z19-Z27</f>
        <v/>
      </c>
      <c r="AA28" s="270">
        <f>AA19-AA27</f>
        <v/>
      </c>
      <c r="AB28" s="270">
        <f>AB19-AB27</f>
        <v/>
      </c>
      <c r="AC28" s="270">
        <f>AC19-AC27</f>
        <v/>
      </c>
      <c r="AD28" s="270">
        <f>AD19-AD27</f>
        <v/>
      </c>
      <c r="AE28" s="270">
        <f>AE19-AE27</f>
        <v/>
      </c>
      <c r="AF28" s="270">
        <f>AF19-AF27</f>
        <v/>
      </c>
    </row>
    <row r="29" ht="18" customFormat="1" customHeight="1" s="218">
      <c r="B29" s="259" t="inlineStr">
        <is>
          <t>BESS Energy Arbitrage Revenue ($)</t>
        </is>
      </c>
      <c r="C29" s="273">
        <f>C16*C28</f>
        <v/>
      </c>
      <c r="D29" s="273">
        <f>D16*D28</f>
        <v/>
      </c>
      <c r="E29" s="273">
        <f>E16*E28</f>
        <v/>
      </c>
      <c r="F29" s="273">
        <f>F16*F28</f>
        <v/>
      </c>
      <c r="G29" s="273">
        <f>G16*G28</f>
        <v/>
      </c>
      <c r="H29" s="273">
        <f>H16*H28</f>
        <v/>
      </c>
      <c r="I29" s="273">
        <f>I16*I28</f>
        <v/>
      </c>
      <c r="J29" s="273">
        <f>J16*J28</f>
        <v/>
      </c>
      <c r="K29" s="273">
        <f>K16*K28</f>
        <v/>
      </c>
      <c r="L29" s="273">
        <f>L16*L28</f>
        <v/>
      </c>
      <c r="M29" s="273">
        <f>M16*M28</f>
        <v/>
      </c>
      <c r="N29" s="273">
        <f>N16*N28</f>
        <v/>
      </c>
      <c r="O29" s="273">
        <f>O16*O28</f>
        <v/>
      </c>
      <c r="P29" s="273">
        <f>P16*P28</f>
        <v/>
      </c>
      <c r="Q29" s="273">
        <f>Q16*Q28</f>
        <v/>
      </c>
      <c r="R29" s="273">
        <f>R16*R28</f>
        <v/>
      </c>
      <c r="S29" s="273">
        <f>S16*S28</f>
        <v/>
      </c>
      <c r="T29" s="273">
        <f>T16*T28</f>
        <v/>
      </c>
      <c r="U29" s="273">
        <f>U16*U28</f>
        <v/>
      </c>
      <c r="V29" s="273">
        <f>V16*V28</f>
        <v/>
      </c>
      <c r="W29" s="273">
        <f>W16*W28</f>
        <v/>
      </c>
      <c r="X29" s="273">
        <f>X16*X28</f>
        <v/>
      </c>
      <c r="Y29" s="273">
        <f>Y16*Y28</f>
        <v/>
      </c>
      <c r="Z29" s="273">
        <f>Z16*Z28</f>
        <v/>
      </c>
      <c r="AA29" s="273">
        <f>AA16*AA28</f>
        <v/>
      </c>
      <c r="AB29" s="273">
        <f>AB16*AB28</f>
        <v/>
      </c>
      <c r="AC29" s="273">
        <f>AC16*AC28</f>
        <v/>
      </c>
      <c r="AD29" s="273">
        <f>AD16*AD28</f>
        <v/>
      </c>
      <c r="AE29" s="273">
        <f>AE16*AE28</f>
        <v/>
      </c>
      <c r="AF29" s="273">
        <f>AF16*AF28</f>
        <v/>
      </c>
    </row>
    <row r="30" ht="16.5" customFormat="1" customHeight="1" s="144">
      <c r="B30" s="145" t="n"/>
      <c r="C30" s="146" t="n"/>
      <c r="D30" s="146" t="n"/>
      <c r="E30" s="146" t="n"/>
      <c r="F30" s="146" t="n"/>
      <c r="G30" s="146" t="n"/>
      <c r="H30" s="146" t="n"/>
      <c r="I30" s="146" t="n"/>
      <c r="J30" s="146" t="n"/>
      <c r="K30" s="146" t="n"/>
      <c r="L30" s="146" t="n"/>
      <c r="M30" s="146" t="n"/>
      <c r="N30" s="146" t="n"/>
      <c r="O30" s="146" t="n"/>
      <c r="P30" s="146" t="n"/>
      <c r="Q30" s="146" t="n"/>
      <c r="R30" s="146" t="n"/>
      <c r="S30" s="146" t="n"/>
      <c r="T30" s="146" t="n"/>
      <c r="U30" s="146" t="n"/>
      <c r="V30" s="146" t="n"/>
      <c r="W30" s="146" t="n"/>
      <c r="X30" s="146" t="n"/>
      <c r="Y30" s="146" t="n"/>
      <c r="Z30" s="146" t="n"/>
      <c r="AA30" s="146" t="n"/>
      <c r="AB30" s="146" t="n"/>
      <c r="AC30" s="146" t="n"/>
      <c r="AD30" s="146" t="n"/>
      <c r="AE30" s="146" t="n"/>
      <c r="AF30" s="146" t="n"/>
    </row>
    <row r="31" ht="16.5" customFormat="1" customHeight="1" s="165" thickBot="1">
      <c r="A31" s="82" t="inlineStr">
        <is>
          <t>BESS Block 2 — Resource Adequacy Revenue</t>
        </is>
      </c>
      <c r="B31" s="82" t="n"/>
      <c r="C31" s="82" t="n"/>
      <c r="D31" s="82" t="n"/>
      <c r="E31" s="82" t="n"/>
      <c r="F31" s="82" t="n"/>
      <c r="G31" s="82" t="n"/>
      <c r="H31" s="82" t="n"/>
      <c r="I31" s="82" t="n"/>
      <c r="J31" s="82" t="n"/>
      <c r="K31" s="82" t="n"/>
      <c r="L31" s="82" t="n"/>
      <c r="M31" s="82" t="n"/>
      <c r="N31" s="82" t="n"/>
      <c r="O31" s="82" t="n"/>
      <c r="P31" s="82" t="n"/>
      <c r="Q31" s="82" t="n"/>
      <c r="R31" s="82" t="n"/>
      <c r="S31" s="82" t="n"/>
      <c r="T31" s="82" t="n"/>
      <c r="U31" s="82" t="n"/>
      <c r="V31" s="82" t="n"/>
      <c r="W31" s="82" t="n"/>
      <c r="X31" s="82" t="n"/>
      <c r="Y31" s="82" t="n"/>
      <c r="Z31" s="82" t="n"/>
      <c r="AA31" s="82" t="n"/>
      <c r="AB31" s="82" t="n"/>
      <c r="AC31" s="82" t="n"/>
      <c r="AD31" s="82" t="n"/>
      <c r="AE31" s="82" t="n"/>
      <c r="AF31" s="82" t="n"/>
    </row>
    <row r="32" ht="16.5" customFormat="1" customHeight="1" s="218">
      <c r="B32" s="253" t="inlineStr">
        <is>
          <t>BESS Accredited Capacity (MW)</t>
        </is>
      </c>
      <c r="C32" s="255">
        <f>Inputs!$D$41</f>
        <v/>
      </c>
      <c r="D32" s="255">
        <f>Inputs!$D$41</f>
        <v/>
      </c>
      <c r="E32" s="255">
        <f>Inputs!$D$41</f>
        <v/>
      </c>
      <c r="F32" s="255">
        <f>Inputs!$D$41</f>
        <v/>
      </c>
      <c r="G32" s="255">
        <f>Inputs!$D$41</f>
        <v/>
      </c>
      <c r="H32" s="255">
        <f>Inputs!$D$41</f>
        <v/>
      </c>
      <c r="I32" s="255">
        <f>Inputs!$D$41</f>
        <v/>
      </c>
      <c r="J32" s="255">
        <f>Inputs!$D$41</f>
        <v/>
      </c>
      <c r="K32" s="255">
        <f>Inputs!$D$41</f>
        <v/>
      </c>
      <c r="L32" s="255">
        <f>Inputs!$D$41</f>
        <v/>
      </c>
      <c r="M32" s="255">
        <f>Inputs!$D$41</f>
        <v/>
      </c>
      <c r="N32" s="255">
        <f>Inputs!$D$41</f>
        <v/>
      </c>
      <c r="O32" s="255">
        <f>Inputs!$D$41</f>
        <v/>
      </c>
      <c r="P32" s="255">
        <f>Inputs!$D$41</f>
        <v/>
      </c>
      <c r="Q32" s="255">
        <f>Inputs!$D$41</f>
        <v/>
      </c>
      <c r="R32" s="255">
        <f>Inputs!$D$41</f>
        <v/>
      </c>
      <c r="S32" s="255">
        <f>Inputs!$D$41</f>
        <v/>
      </c>
      <c r="T32" s="255">
        <f>Inputs!$D$41</f>
        <v/>
      </c>
      <c r="U32" s="255">
        <f>Inputs!$D$41</f>
        <v/>
      </c>
      <c r="V32" s="255">
        <f>Inputs!$D$41</f>
        <v/>
      </c>
      <c r="W32" s="255">
        <f>Inputs!$D$41</f>
        <v/>
      </c>
      <c r="X32" s="255">
        <f>Inputs!$D$41</f>
        <v/>
      </c>
      <c r="Y32" s="255">
        <f>Inputs!$D$41</f>
        <v/>
      </c>
      <c r="Z32" s="255">
        <f>Inputs!$D$41</f>
        <v/>
      </c>
      <c r="AA32" s="255">
        <f>Inputs!$D$41</f>
        <v/>
      </c>
      <c r="AB32" s="255">
        <f>Inputs!$D$41</f>
        <v/>
      </c>
      <c r="AC32" s="255">
        <f>Inputs!$D$41</f>
        <v/>
      </c>
      <c r="AD32" s="255">
        <f>Inputs!$D$41</f>
        <v/>
      </c>
      <c r="AE32" s="255">
        <f>Inputs!$D$41</f>
        <v/>
      </c>
      <c r="AF32" s="256">
        <f>Inputs!$D$41</f>
        <v/>
      </c>
    </row>
    <row r="33" ht="16.5" customFormat="1" customHeight="1" s="218">
      <c r="B33" s="251" t="inlineStr">
        <is>
          <t>RA Price — Year 1 ($/kW-month)</t>
        </is>
      </c>
      <c r="C33" s="257">
        <f>Inputs!$D$42</f>
        <v/>
      </c>
      <c r="D33" s="257">
        <f>Inputs!$D$42</f>
        <v/>
      </c>
      <c r="E33" s="257">
        <f>Inputs!$D$42</f>
        <v/>
      </c>
      <c r="F33" s="257">
        <f>Inputs!$D$42</f>
        <v/>
      </c>
      <c r="G33" s="257">
        <f>Inputs!$D$42</f>
        <v/>
      </c>
      <c r="H33" s="257">
        <f>Inputs!$D$42</f>
        <v/>
      </c>
      <c r="I33" s="257">
        <f>Inputs!$D$42</f>
        <v/>
      </c>
      <c r="J33" s="257">
        <f>Inputs!$D$42</f>
        <v/>
      </c>
      <c r="K33" s="257">
        <f>Inputs!$D$42</f>
        <v/>
      </c>
      <c r="L33" s="257">
        <f>Inputs!$D$42</f>
        <v/>
      </c>
      <c r="M33" s="257">
        <f>Inputs!$D$42</f>
        <v/>
      </c>
      <c r="N33" s="257">
        <f>Inputs!$D$42</f>
        <v/>
      </c>
      <c r="O33" s="257">
        <f>Inputs!$D$42</f>
        <v/>
      </c>
      <c r="P33" s="257">
        <f>Inputs!$D$42</f>
        <v/>
      </c>
      <c r="Q33" s="257">
        <f>Inputs!$D$42</f>
        <v/>
      </c>
      <c r="R33" s="257">
        <f>Inputs!$D$42</f>
        <v/>
      </c>
      <c r="S33" s="257">
        <f>Inputs!$D$42</f>
        <v/>
      </c>
      <c r="T33" s="257">
        <f>Inputs!$D$42</f>
        <v/>
      </c>
      <c r="U33" s="257">
        <f>Inputs!$D$42</f>
        <v/>
      </c>
      <c r="V33" s="257">
        <f>Inputs!$D$42</f>
        <v/>
      </c>
      <c r="W33" s="257">
        <f>Inputs!$D$42</f>
        <v/>
      </c>
      <c r="X33" s="257">
        <f>Inputs!$D$42</f>
        <v/>
      </c>
      <c r="Y33" s="257">
        <f>Inputs!$D$42</f>
        <v/>
      </c>
      <c r="Z33" s="257">
        <f>Inputs!$D$42</f>
        <v/>
      </c>
      <c r="AA33" s="257">
        <f>Inputs!$D$42</f>
        <v/>
      </c>
      <c r="AB33" s="257">
        <f>Inputs!$D$42</f>
        <v/>
      </c>
      <c r="AC33" s="257">
        <f>Inputs!$D$42</f>
        <v/>
      </c>
      <c r="AD33" s="257">
        <f>Inputs!$D$42</f>
        <v/>
      </c>
      <c r="AE33" s="257">
        <f>Inputs!$D$42</f>
        <v/>
      </c>
      <c r="AF33" s="258">
        <f>Inputs!$D$42</f>
        <v/>
      </c>
    </row>
    <row r="34" ht="16.5" customFormat="1" customHeight="1" s="218">
      <c r="B34" s="253" t="inlineStr">
        <is>
          <t>RA Escalator Factor</t>
        </is>
      </c>
      <c r="C34" s="255">
        <f>(1+Inputs!$D$43)^(Revenue!C2-1)</f>
        <v/>
      </c>
      <c r="D34" s="255">
        <f>(1+Inputs!$D$43)^(Revenue!D2-1)</f>
        <v/>
      </c>
      <c r="E34" s="255">
        <f>(1+Inputs!$D$43)^(Revenue!E2-1)</f>
        <v/>
      </c>
      <c r="F34" s="255">
        <f>(1+Inputs!$D$43)^(Revenue!F2-1)</f>
        <v/>
      </c>
      <c r="G34" s="255">
        <f>(1+Inputs!$D$43)^(Revenue!G2-1)</f>
        <v/>
      </c>
      <c r="H34" s="255">
        <f>(1+Inputs!$D$43)^(Revenue!H2-1)</f>
        <v/>
      </c>
      <c r="I34" s="255">
        <f>(1+Inputs!$D$43)^(Revenue!I2-1)</f>
        <v/>
      </c>
      <c r="J34" s="255">
        <f>(1+Inputs!$D$43)^(Revenue!J2-1)</f>
        <v/>
      </c>
      <c r="K34" s="255">
        <f>(1+Inputs!$D$43)^(Revenue!K2-1)</f>
        <v/>
      </c>
      <c r="L34" s="255">
        <f>(1+Inputs!$D$43)^(Revenue!L2-1)</f>
        <v/>
      </c>
      <c r="M34" s="255">
        <f>(1+Inputs!$D$43)^(Revenue!M2-1)</f>
        <v/>
      </c>
      <c r="N34" s="255">
        <f>(1+Inputs!$D$43)^(Revenue!N2-1)</f>
        <v/>
      </c>
      <c r="O34" s="255">
        <f>(1+Inputs!$D$43)^(Revenue!O2-1)</f>
        <v/>
      </c>
      <c r="P34" s="255">
        <f>(1+Inputs!$D$43)^(Revenue!P2-1)</f>
        <v/>
      </c>
      <c r="Q34" s="255">
        <f>(1+Inputs!$D$43)^(Revenue!Q2-1)</f>
        <v/>
      </c>
      <c r="R34" s="255">
        <f>(1+Inputs!$D$43)^(Revenue!R2-1)</f>
        <v/>
      </c>
      <c r="S34" s="255">
        <f>(1+Inputs!$D$43)^(Revenue!S2-1)</f>
        <v/>
      </c>
      <c r="T34" s="255">
        <f>(1+Inputs!$D$43)^(Revenue!T2-1)</f>
        <v/>
      </c>
      <c r="U34" s="255">
        <f>(1+Inputs!$D$43)^(Revenue!U2-1)</f>
        <v/>
      </c>
      <c r="V34" s="255">
        <f>(1+Inputs!$D$43)^(Revenue!V2-1)</f>
        <v/>
      </c>
      <c r="W34" s="255">
        <f>(1+Inputs!$D$43)^(Revenue!W2-1)</f>
        <v/>
      </c>
      <c r="X34" s="255">
        <f>(1+Inputs!$D$43)^(Revenue!X2-1)</f>
        <v/>
      </c>
      <c r="Y34" s="255">
        <f>(1+Inputs!$D$43)^(Revenue!Y2-1)</f>
        <v/>
      </c>
      <c r="Z34" s="255">
        <f>(1+Inputs!$D$43)^(Revenue!Z2-1)</f>
        <v/>
      </c>
      <c r="AA34" s="255">
        <f>(1+Inputs!$D$43)^(Revenue!AA2-1)</f>
        <v/>
      </c>
      <c r="AB34" s="255">
        <f>(1+Inputs!$D$43)^(Revenue!AB2-1)</f>
        <v/>
      </c>
      <c r="AC34" s="255">
        <f>(1+Inputs!$D$43)^(Revenue!AC2-1)</f>
        <v/>
      </c>
      <c r="AD34" s="255">
        <f>(1+Inputs!$D$43)^(Revenue!AD2-1)</f>
        <v/>
      </c>
      <c r="AE34" s="255">
        <f>(1+Inputs!$D$43)^(Revenue!AE2-1)</f>
        <v/>
      </c>
      <c r="AF34" s="256">
        <f>(1+Inputs!$D$43)^(Revenue!AF2-1)</f>
        <v/>
      </c>
    </row>
    <row r="35" ht="16.5" customFormat="1" customHeight="1" s="218">
      <c r="B35" s="251" t="inlineStr">
        <is>
          <t>RA Price — Year N ($/kW-month)</t>
        </is>
      </c>
      <c r="C35" s="257">
        <f>C33*C34</f>
        <v/>
      </c>
      <c r="D35" s="257">
        <f>D33*D34</f>
        <v/>
      </c>
      <c r="E35" s="257">
        <f>E33*E34</f>
        <v/>
      </c>
      <c r="F35" s="257">
        <f>F33*F34</f>
        <v/>
      </c>
      <c r="G35" s="257">
        <f>G33*G34</f>
        <v/>
      </c>
      <c r="H35" s="257">
        <f>H33*H34</f>
        <v/>
      </c>
      <c r="I35" s="257">
        <f>I33*I34</f>
        <v/>
      </c>
      <c r="J35" s="257">
        <f>J33*J34</f>
        <v/>
      </c>
      <c r="K35" s="257">
        <f>K33*K34</f>
        <v/>
      </c>
      <c r="L35" s="257">
        <f>L33*L34</f>
        <v/>
      </c>
      <c r="M35" s="257">
        <f>M33*M34</f>
        <v/>
      </c>
      <c r="N35" s="257">
        <f>N33*N34</f>
        <v/>
      </c>
      <c r="O35" s="257">
        <f>O33*O34</f>
        <v/>
      </c>
      <c r="P35" s="257">
        <f>P33*P34</f>
        <v/>
      </c>
      <c r="Q35" s="257">
        <f>Q33*Q34</f>
        <v/>
      </c>
      <c r="R35" s="257">
        <f>R33*R34</f>
        <v/>
      </c>
      <c r="S35" s="257">
        <f>S33*S34</f>
        <v/>
      </c>
      <c r="T35" s="257">
        <f>T33*T34</f>
        <v/>
      </c>
      <c r="U35" s="257">
        <f>U33*U34</f>
        <v/>
      </c>
      <c r="V35" s="257">
        <f>V33*V34</f>
        <v/>
      </c>
      <c r="W35" s="257">
        <f>W33*W34</f>
        <v/>
      </c>
      <c r="X35" s="257">
        <f>X33*X34</f>
        <v/>
      </c>
      <c r="Y35" s="257">
        <f>Y33*Y34</f>
        <v/>
      </c>
      <c r="Z35" s="257">
        <f>Z33*Z34</f>
        <v/>
      </c>
      <c r="AA35" s="257">
        <f>AA33*AA34</f>
        <v/>
      </c>
      <c r="AB35" s="257">
        <f>AB33*AB34</f>
        <v/>
      </c>
      <c r="AC35" s="257">
        <f>AC33*AC34</f>
        <v/>
      </c>
      <c r="AD35" s="257">
        <f>AD33*AD34</f>
        <v/>
      </c>
      <c r="AE35" s="257">
        <f>AE33*AE34</f>
        <v/>
      </c>
      <c r="AF35" s="258">
        <f>AF33*AF34</f>
        <v/>
      </c>
    </row>
    <row r="36" ht="18" customFormat="1" customHeight="1" s="218">
      <c r="B36" s="259" t="inlineStr">
        <is>
          <t>BESS RA Revenue ($)</t>
        </is>
      </c>
      <c r="C36" s="308">
        <f>C32*C35*12*1000</f>
        <v/>
      </c>
      <c r="D36" s="308">
        <f>D32*D35*12*1000</f>
        <v/>
      </c>
      <c r="E36" s="308">
        <f>E32*E35*12*1000</f>
        <v/>
      </c>
      <c r="F36" s="308">
        <f>F32*F35*12*1000</f>
        <v/>
      </c>
      <c r="G36" s="308">
        <f>G32*G35*12*1000</f>
        <v/>
      </c>
      <c r="H36" s="308">
        <f>H32*H35*12*1000</f>
        <v/>
      </c>
      <c r="I36" s="308">
        <f>I32*I35*12*1000</f>
        <v/>
      </c>
      <c r="J36" s="308">
        <f>J32*J35*12*1000</f>
        <v/>
      </c>
      <c r="K36" s="308">
        <f>K32*K35*12*1000</f>
        <v/>
      </c>
      <c r="L36" s="308">
        <f>L32*L35*12*1000</f>
        <v/>
      </c>
      <c r="M36" s="308">
        <f>M32*M35*12*1000</f>
        <v/>
      </c>
      <c r="N36" s="308">
        <f>N32*N35*12*1000</f>
        <v/>
      </c>
      <c r="O36" s="308">
        <f>O32*O35*12*1000</f>
        <v/>
      </c>
      <c r="P36" s="308">
        <f>P32*P35*12*1000</f>
        <v/>
      </c>
      <c r="Q36" s="308">
        <f>Q32*Q35*12*1000</f>
        <v/>
      </c>
      <c r="R36" s="308">
        <f>R32*R35*12*1000</f>
        <v/>
      </c>
      <c r="S36" s="308">
        <f>S32*S35*12*1000</f>
        <v/>
      </c>
      <c r="T36" s="308">
        <f>T32*T35*12*1000</f>
        <v/>
      </c>
      <c r="U36" s="308">
        <f>U32*U35*12*1000</f>
        <v/>
      </c>
      <c r="V36" s="308">
        <f>V32*V35*12*1000</f>
        <v/>
      </c>
      <c r="W36" s="308">
        <f>W32*W35*12*1000</f>
        <v/>
      </c>
      <c r="X36" s="308">
        <f>X32*X35*12*1000</f>
        <v/>
      </c>
      <c r="Y36" s="308">
        <f>Y32*Y35*12*1000</f>
        <v/>
      </c>
      <c r="Z36" s="308">
        <f>Z32*Z35*12*1000</f>
        <v/>
      </c>
      <c r="AA36" s="308">
        <f>AA32*AA35*12*1000</f>
        <v/>
      </c>
      <c r="AB36" s="308">
        <f>AB32*AB35*12*1000</f>
        <v/>
      </c>
      <c r="AC36" s="308">
        <f>AC32*AC35*12*1000</f>
        <v/>
      </c>
      <c r="AD36" s="308">
        <f>AD32*AD35*12*1000</f>
        <v/>
      </c>
      <c r="AE36" s="308">
        <f>AE32*AE35*12*1000</f>
        <v/>
      </c>
      <c r="AF36" s="309">
        <f>AF32*AF35*12*1000</f>
        <v/>
      </c>
    </row>
    <row r="37" ht="16.5" customFormat="1" customHeight="1" s="144">
      <c r="B37" s="168" t="n"/>
      <c r="C37" s="169" t="n"/>
      <c r="D37" s="169" t="n"/>
      <c r="E37" s="169" t="n"/>
      <c r="F37" s="169" t="n"/>
      <c r="G37" s="169" t="n"/>
      <c r="H37" s="169" t="n"/>
      <c r="I37" s="169" t="n"/>
      <c r="J37" s="169" t="n"/>
      <c r="K37" s="169" t="n"/>
      <c r="L37" s="169" t="n"/>
      <c r="M37" s="169" t="n"/>
      <c r="N37" s="169" t="n"/>
      <c r="O37" s="169" t="n"/>
      <c r="P37" s="169" t="n"/>
      <c r="Q37" s="169" t="n"/>
      <c r="R37" s="169" t="n"/>
      <c r="S37" s="169" t="n"/>
      <c r="T37" s="169" t="n"/>
      <c r="U37" s="169" t="n"/>
      <c r="V37" s="169" t="n"/>
      <c r="W37" s="169" t="n"/>
      <c r="X37" s="169" t="n"/>
      <c r="Y37" s="169" t="n"/>
      <c r="Z37" s="169" t="n"/>
      <c r="AA37" s="169" t="n"/>
      <c r="AB37" s="169" t="n"/>
      <c r="AC37" s="169" t="n"/>
      <c r="AD37" s="169" t="n"/>
      <c r="AE37" s="169" t="n"/>
      <c r="AF37" s="169" t="n"/>
    </row>
    <row r="38" ht="16.5" customFormat="1" customHeight="1" s="165" thickBot="1">
      <c r="A38" s="82" t="inlineStr">
        <is>
          <t>BESS Block 3 — Ancillary Services Revenue</t>
        </is>
      </c>
      <c r="B38" s="82" t="n"/>
      <c r="C38" s="82" t="n"/>
      <c r="D38" s="82" t="n"/>
      <c r="E38" s="82" t="n"/>
      <c r="F38" s="82" t="n"/>
      <c r="G38" s="82" t="n"/>
      <c r="H38" s="82" t="n"/>
      <c r="I38" s="82" t="n"/>
      <c r="J38" s="82" t="n"/>
      <c r="K38" s="82" t="n"/>
      <c r="L38" s="82" t="n"/>
      <c r="M38" s="82" t="n"/>
      <c r="N38" s="82" t="n"/>
      <c r="O38" s="82" t="n"/>
      <c r="P38" s="82" t="n"/>
      <c r="Q38" s="82" t="n"/>
      <c r="R38" s="82" t="n"/>
      <c r="S38" s="82" t="n"/>
      <c r="T38" s="82" t="n"/>
      <c r="U38" s="82" t="n"/>
      <c r="V38" s="82" t="n"/>
      <c r="W38" s="82" t="n"/>
      <c r="X38" s="82" t="n"/>
      <c r="Y38" s="82" t="n"/>
      <c r="Z38" s="82" t="n"/>
      <c r="AA38" s="82" t="n"/>
      <c r="AB38" s="82" t="n"/>
      <c r="AC38" s="82" t="n"/>
      <c r="AD38" s="82" t="n"/>
      <c r="AE38" s="82" t="n"/>
      <c r="AF38" s="82" t="n"/>
    </row>
    <row r="39" ht="16.5" customFormat="1" customHeight="1" s="218">
      <c r="B39" s="251" t="inlineStr">
        <is>
          <t>BESS Power Rating - Nameplate (MW)</t>
        </is>
      </c>
      <c r="C39" s="262">
        <f>Inputs!$D$22</f>
        <v/>
      </c>
      <c r="D39" s="262">
        <f>Inputs!$D$22</f>
        <v/>
      </c>
      <c r="E39" s="262">
        <f>Inputs!$D$22</f>
        <v/>
      </c>
      <c r="F39" s="262">
        <f>Inputs!$D$22</f>
        <v/>
      </c>
      <c r="G39" s="262">
        <f>Inputs!$D$22</f>
        <v/>
      </c>
      <c r="H39" s="262">
        <f>Inputs!$D$22</f>
        <v/>
      </c>
      <c r="I39" s="262">
        <f>Inputs!$D$22</f>
        <v/>
      </c>
      <c r="J39" s="262">
        <f>Inputs!$D$22</f>
        <v/>
      </c>
      <c r="K39" s="262">
        <f>Inputs!$D$22</f>
        <v/>
      </c>
      <c r="L39" s="262">
        <f>Inputs!$D$22</f>
        <v/>
      </c>
      <c r="M39" s="262">
        <f>Inputs!$D$22</f>
        <v/>
      </c>
      <c r="N39" s="262">
        <f>Inputs!$D$22</f>
        <v/>
      </c>
      <c r="O39" s="262">
        <f>Inputs!$D$22</f>
        <v/>
      </c>
      <c r="P39" s="262">
        <f>Inputs!$D$22</f>
        <v/>
      </c>
      <c r="Q39" s="262">
        <f>Inputs!$D$22</f>
        <v/>
      </c>
      <c r="R39" s="262">
        <f>Inputs!$D$22</f>
        <v/>
      </c>
      <c r="S39" s="262">
        <f>Inputs!$D$22</f>
        <v/>
      </c>
      <c r="T39" s="262">
        <f>Inputs!$D$22</f>
        <v/>
      </c>
      <c r="U39" s="262">
        <f>Inputs!$D$22</f>
        <v/>
      </c>
      <c r="V39" s="262">
        <f>Inputs!$D$22</f>
        <v/>
      </c>
      <c r="W39" s="262">
        <f>Inputs!$D$22</f>
        <v/>
      </c>
      <c r="X39" s="262">
        <f>Inputs!$D$22</f>
        <v/>
      </c>
      <c r="Y39" s="262">
        <f>Inputs!$D$22</f>
        <v/>
      </c>
      <c r="Z39" s="262">
        <f>Inputs!$D$22</f>
        <v/>
      </c>
      <c r="AA39" s="262">
        <f>Inputs!$D$22</f>
        <v/>
      </c>
      <c r="AB39" s="262">
        <f>Inputs!$D$22</f>
        <v/>
      </c>
      <c r="AC39" s="262">
        <f>Inputs!$D$22</f>
        <v/>
      </c>
      <c r="AD39" s="262">
        <f>Inputs!$D$22</f>
        <v/>
      </c>
      <c r="AE39" s="262">
        <f>Inputs!$D$22</f>
        <v/>
      </c>
      <c r="AF39" s="263">
        <f>Inputs!$D$22</f>
        <v/>
      </c>
    </row>
    <row r="40" ht="16.5" customFormat="1" customHeight="1" s="218">
      <c r="B40" s="253" t="inlineStr">
        <is>
          <t>BESS Power Degradation Factor</t>
        </is>
      </c>
      <c r="C40" s="550">
        <f>(1-Inputs!$D$26)^(Revenue!C2-1)</f>
        <v/>
      </c>
      <c r="D40" s="550">
        <f>(1-Inputs!$D$26)^(Revenue!D2-1)</f>
        <v/>
      </c>
      <c r="E40" s="550">
        <f>(1-Inputs!$D$26)^(Revenue!E2-1)</f>
        <v/>
      </c>
      <c r="F40" s="550">
        <f>(1-Inputs!$D$26)^(Revenue!F2-1)</f>
        <v/>
      </c>
      <c r="G40" s="550">
        <f>(1-Inputs!$D$26)^(Revenue!G2-1)</f>
        <v/>
      </c>
      <c r="H40" s="550">
        <f>(1-Inputs!$D$26)^(Revenue!H2-1)</f>
        <v/>
      </c>
      <c r="I40" s="550">
        <f>(1-Inputs!$D$26)^(Revenue!I2-1)</f>
        <v/>
      </c>
      <c r="J40" s="550">
        <f>(1-Inputs!$D$26)^(Revenue!J2-1)</f>
        <v/>
      </c>
      <c r="K40" s="550">
        <f>(1-Inputs!$D$26)^(Revenue!K2-1)</f>
        <v/>
      </c>
      <c r="L40" s="550">
        <f>(1-Inputs!$D$26)^(Revenue!L2-1)</f>
        <v/>
      </c>
      <c r="M40" s="550">
        <f>(1-Inputs!$D$26)^(Revenue!M2-1)</f>
        <v/>
      </c>
      <c r="N40" s="550">
        <f>(1-Inputs!$D$26)^(Revenue!N2-1)</f>
        <v/>
      </c>
      <c r="O40" s="550">
        <f>(1-Inputs!$D$26)^(Revenue!O2-1)</f>
        <v/>
      </c>
      <c r="P40" s="550">
        <f>(1-Inputs!$D$26)^(Revenue!P2-1)</f>
        <v/>
      </c>
      <c r="Q40" s="550">
        <f>(1-Inputs!$D$26)^(Revenue!Q2-1)</f>
        <v/>
      </c>
      <c r="R40" s="550">
        <f>(1-Inputs!$D$26)^(Revenue!R2-1)</f>
        <v/>
      </c>
      <c r="S40" s="550">
        <f>(1-Inputs!$D$26)^(Revenue!S2-1)</f>
        <v/>
      </c>
      <c r="T40" s="550">
        <f>(1-Inputs!$D$26)^(Revenue!T2-1)</f>
        <v/>
      </c>
      <c r="U40" s="550">
        <f>(1-Inputs!$D$26)^(Revenue!U2-1)</f>
        <v/>
      </c>
      <c r="V40" s="550">
        <f>(1-Inputs!$D$26)^(Revenue!V2-1)</f>
        <v/>
      </c>
      <c r="W40" s="550">
        <f>(1-Inputs!$D$26)^(Revenue!W2-1)</f>
        <v/>
      </c>
      <c r="X40" s="550">
        <f>(1-Inputs!$D$26)^(Revenue!X2-1)</f>
        <v/>
      </c>
      <c r="Y40" s="550">
        <f>(1-Inputs!$D$26)^(Revenue!Y2-1)</f>
        <v/>
      </c>
      <c r="Z40" s="550">
        <f>(1-Inputs!$D$26)^(Revenue!Z2-1)</f>
        <v/>
      </c>
      <c r="AA40" s="550">
        <f>(1-Inputs!$D$26)^(Revenue!AA2-1)</f>
        <v/>
      </c>
      <c r="AB40" s="550">
        <f>(1-Inputs!$D$26)^(Revenue!AB2-1)</f>
        <v/>
      </c>
      <c r="AC40" s="550">
        <f>(1-Inputs!$D$26)^(Revenue!AC2-1)</f>
        <v/>
      </c>
      <c r="AD40" s="550">
        <f>(1-Inputs!$D$26)^(Revenue!AD2-1)</f>
        <v/>
      </c>
      <c r="AE40" s="550">
        <f>(1-Inputs!$D$26)^(Revenue!AE2-1)</f>
        <v/>
      </c>
      <c r="AF40" s="551">
        <f>(1-Inputs!$D$26)^(Revenue!AF2-1)</f>
        <v/>
      </c>
    </row>
    <row r="41" ht="16.5" customFormat="1" customHeight="1" s="218">
      <c r="B41" s="251" t="inlineStr">
        <is>
          <t>BESS Power Rating - Year N (MW)</t>
        </is>
      </c>
      <c r="C41" s="266">
        <f>C40*C39</f>
        <v/>
      </c>
      <c r="D41" s="266">
        <f>D40*D39</f>
        <v/>
      </c>
      <c r="E41" s="266">
        <f>E40*E39</f>
        <v/>
      </c>
      <c r="F41" s="266">
        <f>F40*F39</f>
        <v/>
      </c>
      <c r="G41" s="266">
        <f>G40*G39</f>
        <v/>
      </c>
      <c r="H41" s="266">
        <f>H40*H39</f>
        <v/>
      </c>
      <c r="I41" s="266">
        <f>I40*I39</f>
        <v/>
      </c>
      <c r="J41" s="266">
        <f>J40*J39</f>
        <v/>
      </c>
      <c r="K41" s="266">
        <f>K40*K39</f>
        <v/>
      </c>
      <c r="L41" s="266">
        <f>L40*L39</f>
        <v/>
      </c>
      <c r="M41" s="266">
        <f>M40*M39</f>
        <v/>
      </c>
      <c r="N41" s="266">
        <f>N40*N39</f>
        <v/>
      </c>
      <c r="O41" s="266">
        <f>O40*O39</f>
        <v/>
      </c>
      <c r="P41" s="266">
        <f>P40*P39</f>
        <v/>
      </c>
      <c r="Q41" s="266">
        <f>Q40*Q39</f>
        <v/>
      </c>
      <c r="R41" s="266">
        <f>R40*R39</f>
        <v/>
      </c>
      <c r="S41" s="266">
        <f>S40*S39</f>
        <v/>
      </c>
      <c r="T41" s="266">
        <f>T40*T39</f>
        <v/>
      </c>
      <c r="U41" s="266">
        <f>U40*U39</f>
        <v/>
      </c>
      <c r="V41" s="266">
        <f>V40*V39</f>
        <v/>
      </c>
      <c r="W41" s="266">
        <f>W40*W39</f>
        <v/>
      </c>
      <c r="X41" s="266">
        <f>X40*X39</f>
        <v/>
      </c>
      <c r="Y41" s="266">
        <f>Y40*Y39</f>
        <v/>
      </c>
      <c r="Z41" s="266">
        <f>Z40*Z39</f>
        <v/>
      </c>
      <c r="AA41" s="266">
        <f>AA40*AA39</f>
        <v/>
      </c>
      <c r="AB41" s="266">
        <f>AB40*AB39</f>
        <v/>
      </c>
      <c r="AC41" s="266">
        <f>AC40*AC39</f>
        <v/>
      </c>
      <c r="AD41" s="266">
        <f>AD40*AD39</f>
        <v/>
      </c>
      <c r="AE41" s="266">
        <f>AE40*AE39</f>
        <v/>
      </c>
      <c r="AF41" s="267">
        <f>AF40*AF39</f>
        <v/>
      </c>
    </row>
    <row r="42" ht="16.5" customFormat="1" customHeight="1" s="218">
      <c r="B42" s="253" t="inlineStr">
        <is>
          <t>Ancillary Services Capacity Allocation</t>
        </is>
      </c>
      <c r="C42" s="268">
        <f>Inputs!$D$47</f>
        <v/>
      </c>
      <c r="D42" s="268">
        <f>Inputs!$D$47</f>
        <v/>
      </c>
      <c r="E42" s="268">
        <f>Inputs!$D$47</f>
        <v/>
      </c>
      <c r="F42" s="268">
        <f>Inputs!$D$47</f>
        <v/>
      </c>
      <c r="G42" s="268">
        <f>Inputs!$D$47</f>
        <v/>
      </c>
      <c r="H42" s="268">
        <f>Inputs!$D$47</f>
        <v/>
      </c>
      <c r="I42" s="268">
        <f>Inputs!$D$47</f>
        <v/>
      </c>
      <c r="J42" s="268">
        <f>Inputs!$D$47</f>
        <v/>
      </c>
      <c r="K42" s="268">
        <f>Inputs!$D$47</f>
        <v/>
      </c>
      <c r="L42" s="268">
        <f>Inputs!$D$47</f>
        <v/>
      </c>
      <c r="M42" s="268">
        <f>Inputs!$D$47</f>
        <v/>
      </c>
      <c r="N42" s="268">
        <f>Inputs!$D$47</f>
        <v/>
      </c>
      <c r="O42" s="268">
        <f>Inputs!$D$47</f>
        <v/>
      </c>
      <c r="P42" s="268">
        <f>Inputs!$D$47</f>
        <v/>
      </c>
      <c r="Q42" s="268">
        <f>Inputs!$D$47</f>
        <v/>
      </c>
      <c r="R42" s="268">
        <f>Inputs!$D$47</f>
        <v/>
      </c>
      <c r="S42" s="268">
        <f>Inputs!$D$47</f>
        <v/>
      </c>
      <c r="T42" s="268">
        <f>Inputs!$D$47</f>
        <v/>
      </c>
      <c r="U42" s="268">
        <f>Inputs!$D$47</f>
        <v/>
      </c>
      <c r="V42" s="268">
        <f>Inputs!$D$47</f>
        <v/>
      </c>
      <c r="W42" s="268">
        <f>Inputs!$D$47</f>
        <v/>
      </c>
      <c r="X42" s="268">
        <f>Inputs!$D$47</f>
        <v/>
      </c>
      <c r="Y42" s="268">
        <f>Inputs!$D$47</f>
        <v/>
      </c>
      <c r="Z42" s="268">
        <f>Inputs!$D$47</f>
        <v/>
      </c>
      <c r="AA42" s="268">
        <f>Inputs!$D$47</f>
        <v/>
      </c>
      <c r="AB42" s="268">
        <f>Inputs!$D$47</f>
        <v/>
      </c>
      <c r="AC42" s="268">
        <f>Inputs!$D$47</f>
        <v/>
      </c>
      <c r="AD42" s="268">
        <f>Inputs!$D$47</f>
        <v/>
      </c>
      <c r="AE42" s="268">
        <f>Inputs!$D$47</f>
        <v/>
      </c>
      <c r="AF42" s="269">
        <f>Inputs!$D$47</f>
        <v/>
      </c>
    </row>
    <row r="43" ht="16.5" customFormat="1" customHeight="1" s="218">
      <c r="B43" s="251" t="inlineStr">
        <is>
          <t>BESS Capacity - Ancillary Services Share (MW)</t>
        </is>
      </c>
      <c r="C43" s="262">
        <f>C41*C42</f>
        <v/>
      </c>
      <c r="D43" s="262">
        <f>D41*D42</f>
        <v/>
      </c>
      <c r="E43" s="262">
        <f>E41*E42</f>
        <v/>
      </c>
      <c r="F43" s="262">
        <f>F41*F42</f>
        <v/>
      </c>
      <c r="G43" s="262">
        <f>G41*G42</f>
        <v/>
      </c>
      <c r="H43" s="262">
        <f>H41*H42</f>
        <v/>
      </c>
      <c r="I43" s="262">
        <f>I41*I42</f>
        <v/>
      </c>
      <c r="J43" s="262">
        <f>J41*J42</f>
        <v/>
      </c>
      <c r="K43" s="262">
        <f>K41*K42</f>
        <v/>
      </c>
      <c r="L43" s="262">
        <f>L41*L42</f>
        <v/>
      </c>
      <c r="M43" s="262">
        <f>M41*M42</f>
        <v/>
      </c>
      <c r="N43" s="262">
        <f>N41*N42</f>
        <v/>
      </c>
      <c r="O43" s="262">
        <f>O41*O42</f>
        <v/>
      </c>
      <c r="P43" s="262">
        <f>P41*P42</f>
        <v/>
      </c>
      <c r="Q43" s="262">
        <f>Q41*Q42</f>
        <v/>
      </c>
      <c r="R43" s="262">
        <f>R41*R42</f>
        <v/>
      </c>
      <c r="S43" s="262">
        <f>S41*S42</f>
        <v/>
      </c>
      <c r="T43" s="262">
        <f>T41*T42</f>
        <v/>
      </c>
      <c r="U43" s="262">
        <f>U41*U42</f>
        <v/>
      </c>
      <c r="V43" s="262">
        <f>V41*V42</f>
        <v/>
      </c>
      <c r="W43" s="262">
        <f>W41*W42</f>
        <v/>
      </c>
      <c r="X43" s="262">
        <f>X41*X42</f>
        <v/>
      </c>
      <c r="Y43" s="262">
        <f>Y41*Y42</f>
        <v/>
      </c>
      <c r="Z43" s="262">
        <f>Z41*Z42</f>
        <v/>
      </c>
      <c r="AA43" s="262">
        <f>AA41*AA42</f>
        <v/>
      </c>
      <c r="AB43" s="262">
        <f>AB41*AB42</f>
        <v/>
      </c>
      <c r="AC43" s="262">
        <f>AC41*AC42</f>
        <v/>
      </c>
      <c r="AD43" s="262">
        <f>AD41*AD42</f>
        <v/>
      </c>
      <c r="AE43" s="262">
        <f>AE41*AE42</f>
        <v/>
      </c>
      <c r="AF43" s="263">
        <f>AF41*AF42</f>
        <v/>
      </c>
    </row>
    <row r="44" ht="16.5" customFormat="1" customHeight="1" s="559">
      <c r="B44" s="253" t="inlineStr">
        <is>
          <t>Ancillary Services Revenue - Year 1 ($/kW-year)</t>
        </is>
      </c>
      <c r="C44" s="270">
        <f>Inputs!$D$45</f>
        <v/>
      </c>
      <c r="D44" s="270">
        <f>Inputs!$D$45</f>
        <v/>
      </c>
      <c r="E44" s="270">
        <f>Inputs!$D$45</f>
        <v/>
      </c>
      <c r="F44" s="270">
        <f>Inputs!$D$45</f>
        <v/>
      </c>
      <c r="G44" s="270">
        <f>Inputs!$D$45</f>
        <v/>
      </c>
      <c r="H44" s="270">
        <f>Inputs!$D$45</f>
        <v/>
      </c>
      <c r="I44" s="270">
        <f>Inputs!$D$45</f>
        <v/>
      </c>
      <c r="J44" s="270">
        <f>Inputs!$D$45</f>
        <v/>
      </c>
      <c r="K44" s="270">
        <f>Inputs!$D$45</f>
        <v/>
      </c>
      <c r="L44" s="270">
        <f>Inputs!$D$45</f>
        <v/>
      </c>
      <c r="M44" s="270">
        <f>Inputs!$D$45</f>
        <v/>
      </c>
      <c r="N44" s="270">
        <f>Inputs!$D$45</f>
        <v/>
      </c>
      <c r="O44" s="270">
        <f>Inputs!$D$45</f>
        <v/>
      </c>
      <c r="P44" s="270">
        <f>Inputs!$D$45</f>
        <v/>
      </c>
      <c r="Q44" s="270">
        <f>Inputs!$D$45</f>
        <v/>
      </c>
      <c r="R44" s="270">
        <f>Inputs!$D$45</f>
        <v/>
      </c>
      <c r="S44" s="270">
        <f>Inputs!$D$45</f>
        <v/>
      </c>
      <c r="T44" s="270">
        <f>Inputs!$D$45</f>
        <v/>
      </c>
      <c r="U44" s="270">
        <f>Inputs!$D$45</f>
        <v/>
      </c>
      <c r="V44" s="270">
        <f>Inputs!$D$45</f>
        <v/>
      </c>
      <c r="W44" s="270">
        <f>Inputs!$D$45</f>
        <v/>
      </c>
      <c r="X44" s="270">
        <f>Inputs!$D$45</f>
        <v/>
      </c>
      <c r="Y44" s="270">
        <f>Inputs!$D$45</f>
        <v/>
      </c>
      <c r="Z44" s="270">
        <f>Inputs!$D$45</f>
        <v/>
      </c>
      <c r="AA44" s="270">
        <f>Inputs!$D$45</f>
        <v/>
      </c>
      <c r="AB44" s="270">
        <f>Inputs!$D$45</f>
        <v/>
      </c>
      <c r="AC44" s="270">
        <f>Inputs!$D$45</f>
        <v/>
      </c>
      <c r="AD44" s="270">
        <f>Inputs!$D$45</f>
        <v/>
      </c>
      <c r="AE44" s="270">
        <f>Inputs!$D$45</f>
        <v/>
      </c>
      <c r="AF44" s="270">
        <f>Inputs!$D$45</f>
        <v/>
      </c>
    </row>
    <row r="45" ht="16.5" customFormat="1" customHeight="1" s="218">
      <c r="B45" s="251" t="inlineStr">
        <is>
          <t>Ancillary Services Escalator Factor</t>
        </is>
      </c>
      <c r="C45" s="560">
        <f>(1+Inputs!$D$46)^(Revenue!C2-1)</f>
        <v/>
      </c>
      <c r="D45" s="560">
        <f>(1+Inputs!$D$46)^(Revenue!D2-1)</f>
        <v/>
      </c>
      <c r="E45" s="560">
        <f>(1+Inputs!$D$46)^(Revenue!E2-1)</f>
        <v/>
      </c>
      <c r="F45" s="560">
        <f>(1+Inputs!$D$46)^(Revenue!F2-1)</f>
        <v/>
      </c>
      <c r="G45" s="560">
        <f>(1+Inputs!$D$46)^(Revenue!G2-1)</f>
        <v/>
      </c>
      <c r="H45" s="560">
        <f>(1+Inputs!$D$46)^(Revenue!H2-1)</f>
        <v/>
      </c>
      <c r="I45" s="560">
        <f>(1+Inputs!$D$46)^(Revenue!I2-1)</f>
        <v/>
      </c>
      <c r="J45" s="560">
        <f>(1+Inputs!$D$46)^(Revenue!J2-1)</f>
        <v/>
      </c>
      <c r="K45" s="560">
        <f>(1+Inputs!$D$46)^(Revenue!K2-1)</f>
        <v/>
      </c>
      <c r="L45" s="560">
        <f>(1+Inputs!$D$46)^(Revenue!L2-1)</f>
        <v/>
      </c>
      <c r="M45" s="560">
        <f>(1+Inputs!$D$46)^(Revenue!M2-1)</f>
        <v/>
      </c>
      <c r="N45" s="560">
        <f>(1+Inputs!$D$46)^(Revenue!N2-1)</f>
        <v/>
      </c>
      <c r="O45" s="560">
        <f>(1+Inputs!$D$46)^(Revenue!O2-1)</f>
        <v/>
      </c>
      <c r="P45" s="560">
        <f>(1+Inputs!$D$46)^(Revenue!P2-1)</f>
        <v/>
      </c>
      <c r="Q45" s="560">
        <f>(1+Inputs!$D$46)^(Revenue!Q2-1)</f>
        <v/>
      </c>
      <c r="R45" s="560">
        <f>(1+Inputs!$D$46)^(Revenue!R2-1)</f>
        <v/>
      </c>
      <c r="S45" s="560">
        <f>(1+Inputs!$D$46)^(Revenue!S2-1)</f>
        <v/>
      </c>
      <c r="T45" s="560">
        <f>(1+Inputs!$D$46)^(Revenue!T2-1)</f>
        <v/>
      </c>
      <c r="U45" s="560">
        <f>(1+Inputs!$D$46)^(Revenue!U2-1)</f>
        <v/>
      </c>
      <c r="V45" s="560">
        <f>(1+Inputs!$D$46)^(Revenue!V2-1)</f>
        <v/>
      </c>
      <c r="W45" s="560">
        <f>(1+Inputs!$D$46)^(Revenue!W2-1)</f>
        <v/>
      </c>
      <c r="X45" s="560">
        <f>(1+Inputs!$D$46)^(Revenue!X2-1)</f>
        <v/>
      </c>
      <c r="Y45" s="560">
        <f>(1+Inputs!$D$46)^(Revenue!Y2-1)</f>
        <v/>
      </c>
      <c r="Z45" s="560">
        <f>(1+Inputs!$D$46)^(Revenue!Z2-1)</f>
        <v/>
      </c>
      <c r="AA45" s="560">
        <f>(1+Inputs!$D$46)^(Revenue!AA2-1)</f>
        <v/>
      </c>
      <c r="AB45" s="560">
        <f>(1+Inputs!$D$46)^(Revenue!AB2-1)</f>
        <v/>
      </c>
      <c r="AC45" s="560">
        <f>(1+Inputs!$D$46)^(Revenue!AC2-1)</f>
        <v/>
      </c>
      <c r="AD45" s="560">
        <f>(1+Inputs!$D$46)^(Revenue!AD2-1)</f>
        <v/>
      </c>
      <c r="AE45" s="560">
        <f>(1+Inputs!$D$46)^(Revenue!AE2-1)</f>
        <v/>
      </c>
      <c r="AF45" s="561">
        <f>(1+Inputs!$D$46)^(Revenue!AF2-1)</f>
        <v/>
      </c>
    </row>
    <row r="46" ht="16.5" customFormat="1" customHeight="1" s="559">
      <c r="B46" s="253" t="inlineStr">
        <is>
          <t>Ancillary Services Revenue - Year N ($/kW-year)</t>
        </is>
      </c>
      <c r="C46" s="270">
        <f>C44*C45</f>
        <v/>
      </c>
      <c r="D46" s="270">
        <f>D44*D45</f>
        <v/>
      </c>
      <c r="E46" s="270">
        <f>E44*E45</f>
        <v/>
      </c>
      <c r="F46" s="270">
        <f>F44*F45</f>
        <v/>
      </c>
      <c r="G46" s="270">
        <f>G44*G45</f>
        <v/>
      </c>
      <c r="H46" s="270">
        <f>H44*H45</f>
        <v/>
      </c>
      <c r="I46" s="270">
        <f>I44*I45</f>
        <v/>
      </c>
      <c r="J46" s="270">
        <f>J44*J45</f>
        <v/>
      </c>
      <c r="K46" s="270">
        <f>K44*K45</f>
        <v/>
      </c>
      <c r="L46" s="270">
        <f>L44*L45</f>
        <v/>
      </c>
      <c r="M46" s="270">
        <f>M44*M45</f>
        <v/>
      </c>
      <c r="N46" s="270">
        <f>N44*N45</f>
        <v/>
      </c>
      <c r="O46" s="270">
        <f>O44*O45</f>
        <v/>
      </c>
      <c r="P46" s="270">
        <f>P44*P45</f>
        <v/>
      </c>
      <c r="Q46" s="270">
        <f>Q44*Q45</f>
        <v/>
      </c>
      <c r="R46" s="270">
        <f>R44*R45</f>
        <v/>
      </c>
      <c r="S46" s="270">
        <f>S44*S45</f>
        <v/>
      </c>
      <c r="T46" s="270">
        <f>T44*T45</f>
        <v/>
      </c>
      <c r="U46" s="270">
        <f>U44*U45</f>
        <v/>
      </c>
      <c r="V46" s="270">
        <f>V44*V45</f>
        <v/>
      </c>
      <c r="W46" s="270">
        <f>W44*W45</f>
        <v/>
      </c>
      <c r="X46" s="270">
        <f>X44*X45</f>
        <v/>
      </c>
      <c r="Y46" s="270">
        <f>Y44*Y45</f>
        <v/>
      </c>
      <c r="Z46" s="270">
        <f>Z44*Z45</f>
        <v/>
      </c>
      <c r="AA46" s="270">
        <f>AA44*AA45</f>
        <v/>
      </c>
      <c r="AB46" s="270">
        <f>AB44*AB45</f>
        <v/>
      </c>
      <c r="AC46" s="270">
        <f>AC44*AC45</f>
        <v/>
      </c>
      <c r="AD46" s="270">
        <f>AD44*AD45</f>
        <v/>
      </c>
      <c r="AE46" s="270">
        <f>AE44*AE45</f>
        <v/>
      </c>
      <c r="AF46" s="270">
        <f>AF44*AF45</f>
        <v/>
      </c>
    </row>
    <row r="47" ht="18" customFormat="1" customHeight="1" s="559">
      <c r="B47" s="259" t="inlineStr">
        <is>
          <t>BESS Ancillary Services Revenue ($)</t>
        </is>
      </c>
      <c r="C47" s="273">
        <f>C43*C46*1000</f>
        <v/>
      </c>
      <c r="D47" s="273">
        <f>D43*D46*1000</f>
        <v/>
      </c>
      <c r="E47" s="273">
        <f>E43*E46*1000</f>
        <v/>
      </c>
      <c r="F47" s="273">
        <f>F43*F46*1000</f>
        <v/>
      </c>
      <c r="G47" s="273">
        <f>G43*G46*1000</f>
        <v/>
      </c>
      <c r="H47" s="273">
        <f>H43*H46*1000</f>
        <v/>
      </c>
      <c r="I47" s="273">
        <f>I43*I46*1000</f>
        <v/>
      </c>
      <c r="J47" s="273">
        <f>J43*J46*1000</f>
        <v/>
      </c>
      <c r="K47" s="273">
        <f>K43*K46*1000</f>
        <v/>
      </c>
      <c r="L47" s="273">
        <f>L43*L46*1000</f>
        <v/>
      </c>
      <c r="M47" s="273">
        <f>M43*M46*1000</f>
        <v/>
      </c>
      <c r="N47" s="273">
        <f>N43*N46*1000</f>
        <v/>
      </c>
      <c r="O47" s="273">
        <f>O43*O46*1000</f>
        <v/>
      </c>
      <c r="P47" s="273">
        <f>P43*P46*1000</f>
        <v/>
      </c>
      <c r="Q47" s="273">
        <f>Q43*Q46*1000</f>
        <v/>
      </c>
      <c r="R47" s="273">
        <f>R43*R46*1000</f>
        <v/>
      </c>
      <c r="S47" s="273">
        <f>S43*S46*1000</f>
        <v/>
      </c>
      <c r="T47" s="273">
        <f>T43*T46*1000</f>
        <v/>
      </c>
      <c r="U47" s="273">
        <f>U43*U46*1000</f>
        <v/>
      </c>
      <c r="V47" s="273">
        <f>V43*V46*1000</f>
        <v/>
      </c>
      <c r="W47" s="273">
        <f>W43*W46*1000</f>
        <v/>
      </c>
      <c r="X47" s="273">
        <f>X43*X46*1000</f>
        <v/>
      </c>
      <c r="Y47" s="273">
        <f>Y43*Y46*1000</f>
        <v/>
      </c>
      <c r="Z47" s="273">
        <f>Z43*Z46*1000</f>
        <v/>
      </c>
      <c r="AA47" s="273">
        <f>AA43*AA46*1000</f>
        <v/>
      </c>
      <c r="AB47" s="273">
        <f>AB43*AB46*1000</f>
        <v/>
      </c>
      <c r="AC47" s="273">
        <f>AC43*AC46*1000</f>
        <v/>
      </c>
      <c r="AD47" s="273">
        <f>AD43*AD46*1000</f>
        <v/>
      </c>
      <c r="AE47" s="273">
        <f>AE43*AE46*1000</f>
        <v/>
      </c>
      <c r="AF47" s="273">
        <f>AF43*AF46*1000</f>
        <v/>
      </c>
    </row>
    <row r="48" ht="16.5" customFormat="1" customHeight="1" s="144">
      <c r="B48" s="145" t="n"/>
      <c r="C48" s="146" t="n"/>
      <c r="D48" s="146" t="n"/>
      <c r="E48" s="146" t="n"/>
      <c r="F48" s="146" t="n"/>
      <c r="G48" s="146" t="n"/>
      <c r="H48" s="146" t="n"/>
      <c r="I48" s="146" t="n"/>
      <c r="J48" s="146" t="n"/>
      <c r="K48" s="146" t="n"/>
      <c r="L48" s="146" t="n"/>
      <c r="M48" s="146" t="n"/>
      <c r="N48" s="146" t="n"/>
      <c r="O48" s="146" t="n"/>
      <c r="P48" s="146" t="n"/>
      <c r="Q48" s="146" t="n"/>
      <c r="R48" s="146" t="n"/>
      <c r="S48" s="146" t="n"/>
      <c r="T48" s="146" t="n"/>
      <c r="U48" s="146" t="n"/>
      <c r="V48" s="146" t="n"/>
      <c r="W48" s="146" t="n"/>
      <c r="X48" s="146" t="n"/>
      <c r="Y48" s="146" t="n"/>
      <c r="Z48" s="146" t="n"/>
      <c r="AA48" s="146" t="n"/>
      <c r="AB48" s="146" t="n"/>
      <c r="AC48" s="146" t="n"/>
      <c r="AD48" s="146" t="n"/>
      <c r="AE48" s="146" t="n"/>
      <c r="AF48" s="146" t="n"/>
    </row>
    <row r="49" ht="16.5" customHeight="1" s="534">
      <c r="B49" s="142" t="n"/>
      <c r="C49" s="143" t="n"/>
      <c r="D49" s="143" t="n"/>
      <c r="E49" s="143" t="n"/>
      <c r="F49" s="143" t="n"/>
      <c r="G49" s="143" t="n"/>
      <c r="H49" s="143" t="n"/>
      <c r="I49" s="143" t="n"/>
      <c r="J49" s="143" t="n"/>
      <c r="K49" s="143" t="n"/>
      <c r="L49" s="143" t="n"/>
      <c r="M49" s="143" t="n"/>
      <c r="N49" s="143" t="n"/>
      <c r="O49" s="143" t="n"/>
      <c r="P49" s="143" t="n"/>
      <c r="Q49" s="143" t="n"/>
      <c r="R49" s="143" t="n"/>
      <c r="S49" s="143" t="n"/>
      <c r="T49" s="143" t="n"/>
      <c r="U49" s="143" t="n"/>
      <c r="V49" s="143" t="n"/>
      <c r="W49" s="143" t="n"/>
      <c r="X49" s="143" t="n"/>
      <c r="Y49" s="143" t="n"/>
      <c r="Z49" s="143" t="n"/>
      <c r="AA49" s="143" t="n"/>
      <c r="AB49" s="143" t="n"/>
      <c r="AC49" s="143" t="n"/>
      <c r="AD49" s="143" t="n"/>
      <c r="AE49" s="143" t="n"/>
      <c r="AF49" s="143" t="n"/>
    </row>
    <row r="50" ht="18" customHeight="1" s="534">
      <c r="A50" s="315" t="n"/>
      <c r="B50" s="316" t="inlineStr">
        <is>
          <t>TOTAL REVENUE</t>
        </is>
      </c>
      <c r="C50" s="275">
        <f>C11+C29+C36+C47</f>
        <v/>
      </c>
      <c r="D50" s="275">
        <f>D11+D29+D36+D47</f>
        <v/>
      </c>
      <c r="E50" s="275">
        <f>E11+E29+E36+E47</f>
        <v/>
      </c>
      <c r="F50" s="275">
        <f>F11+F29+F36+F47</f>
        <v/>
      </c>
      <c r="G50" s="275">
        <f>G11+G29+G36+G47</f>
        <v/>
      </c>
      <c r="H50" s="275">
        <f>H11+H29+H36+H47</f>
        <v/>
      </c>
      <c r="I50" s="275">
        <f>I11+I29+I36+I47</f>
        <v/>
      </c>
      <c r="J50" s="275">
        <f>J11+J29+J36+J47</f>
        <v/>
      </c>
      <c r="K50" s="275">
        <f>K11+K29+K36+K47</f>
        <v/>
      </c>
      <c r="L50" s="275">
        <f>L11+L29+L36+L47</f>
        <v/>
      </c>
      <c r="M50" s="275">
        <f>M11+M29+M36+M47</f>
        <v/>
      </c>
      <c r="N50" s="275">
        <f>N11+N29+N36+N47</f>
        <v/>
      </c>
      <c r="O50" s="275">
        <f>O11+O29+O36+O47</f>
        <v/>
      </c>
      <c r="P50" s="275">
        <f>P11+P29+P36+P47</f>
        <v/>
      </c>
      <c r="Q50" s="275">
        <f>Q11+Q29+Q36+Q47</f>
        <v/>
      </c>
      <c r="R50" s="275">
        <f>R11+R29+R36+R47</f>
        <v/>
      </c>
      <c r="S50" s="275">
        <f>S11+S29+S36+S47</f>
        <v/>
      </c>
      <c r="T50" s="275">
        <f>T11+T29+T36+T47</f>
        <v/>
      </c>
      <c r="U50" s="275">
        <f>U11+U29+U36+U47</f>
        <v/>
      </c>
      <c r="V50" s="275">
        <f>V11+V29+V36+V47</f>
        <v/>
      </c>
      <c r="W50" s="275">
        <f>W11+W29+W36+W47</f>
        <v/>
      </c>
      <c r="X50" s="275">
        <f>X11+X29+X36+X47</f>
        <v/>
      </c>
      <c r="Y50" s="275">
        <f>Y11+Y29+Y36+Y47</f>
        <v/>
      </c>
      <c r="Z50" s="275">
        <f>Z11+Z29+Z36+Z47</f>
        <v/>
      </c>
      <c r="AA50" s="275">
        <f>AA11+AA29+AA36+AA47</f>
        <v/>
      </c>
      <c r="AB50" s="275">
        <f>AB11+AB29+AB36+AB47</f>
        <v/>
      </c>
      <c r="AC50" s="275">
        <f>AC11+AC29+AC36+AC47</f>
        <v/>
      </c>
      <c r="AD50" s="275">
        <f>AD11+AD29+AD36+AD47</f>
        <v/>
      </c>
      <c r="AE50" s="275">
        <f>AE11+AE29+AE36+AE47</f>
        <v/>
      </c>
      <c r="AF50" s="275">
        <f>AF11+AF29+AF36+AF47</f>
        <v/>
      </c>
    </row>
  </sheetData>
  <mergeCells count="1">
    <mergeCell ref="A1:AF1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tabColor rgb="FFED7D31"/>
    <outlinePr summaryBelow="1" summaryRight="1"/>
    <pageSetUpPr/>
  </sheetPr>
  <dimension ref="A1:AG28"/>
  <sheetViews>
    <sheetView showGridLines="0" zoomScaleNormal="100" workbookViewId="0">
      <pane xSplit="2" ySplit="16" topLeftCell="C17" activePane="bottomRight" state="frozen"/>
      <selection pane="topRight" activeCell="C1" sqref="C1"/>
      <selection pane="bottomLeft" activeCell="A17" sqref="A17"/>
      <selection pane="bottomRight" activeCell="B12" sqref="B12"/>
    </sheetView>
  </sheetViews>
  <sheetFormatPr baseColWidth="8" defaultColWidth="8.7265625" defaultRowHeight="14.5"/>
  <cols>
    <col width="2" customWidth="1" style="534" min="1" max="1"/>
    <col width="32" customWidth="1" style="534" min="2" max="2"/>
    <col width="12" customWidth="1" style="534" min="3" max="32"/>
  </cols>
  <sheetData>
    <row r="1" ht="27.75" customHeight="1" s="534" thickBot="1">
      <c r="A1" s="512" t="inlineStr">
        <is>
          <t>COSTS  —  Capital Expenditure (Sources &amp; Uses)  ·  Annual Operating Costs  ·  Years 1–30</t>
        </is>
      </c>
      <c r="B1" s="535" t="n"/>
      <c r="C1" s="535" t="n"/>
      <c r="D1" s="535" t="n"/>
      <c r="E1" s="535" t="n"/>
      <c r="F1" s="535" t="n"/>
      <c r="G1" s="535" t="n"/>
      <c r="H1" s="535" t="n"/>
      <c r="I1" s="535" t="n"/>
      <c r="J1" s="535" t="n"/>
      <c r="K1" s="535" t="n"/>
      <c r="L1" s="535" t="n"/>
      <c r="M1" s="535" t="n"/>
      <c r="N1" s="535" t="n"/>
      <c r="O1" s="535" t="n"/>
      <c r="P1" s="535" t="n"/>
      <c r="Q1" s="535" t="n"/>
      <c r="R1" s="535" t="n"/>
      <c r="S1" s="535" t="n"/>
      <c r="T1" s="535" t="n"/>
      <c r="U1" s="535" t="n"/>
      <c r="V1" s="535" t="n"/>
      <c r="W1" s="535" t="n"/>
      <c r="X1" s="535" t="n"/>
      <c r="Y1" s="535" t="n"/>
      <c r="Z1" s="535" t="n"/>
      <c r="AA1" s="535" t="n"/>
      <c r="AB1" s="535" t="n"/>
      <c r="AC1" s="535" t="n"/>
      <c r="AD1" s="535" t="n"/>
      <c r="AE1" s="535" t="n"/>
      <c r="AF1" s="535" t="n"/>
      <c r="AG1" s="170" t="n"/>
    </row>
    <row r="2" ht="16.5" customHeight="1" s="534" thickBot="1">
      <c r="A2" s="82" t="inlineStr">
        <is>
          <t>Capex</t>
        </is>
      </c>
      <c r="B2" s="82" t="n"/>
      <c r="C2" s="82" t="n"/>
      <c r="D2" s="143" t="n"/>
      <c r="E2" s="143" t="n"/>
      <c r="F2" s="143" t="n"/>
      <c r="G2" s="143" t="n"/>
      <c r="H2" s="143" t="n"/>
      <c r="I2" s="143" t="n"/>
      <c r="J2" s="143" t="n"/>
      <c r="K2" s="143" t="n"/>
      <c r="L2" s="143" t="n"/>
      <c r="M2" s="143" t="n"/>
      <c r="N2" s="143" t="n"/>
      <c r="O2" s="143" t="n"/>
      <c r="P2" s="143" t="n"/>
      <c r="Q2" s="143" t="n"/>
      <c r="R2" s="143" t="n"/>
      <c r="S2" s="143" t="n"/>
      <c r="T2" s="143" t="n"/>
      <c r="U2" s="143" t="n"/>
      <c r="V2" s="143" t="n"/>
      <c r="W2" s="143" t="n"/>
      <c r="X2" s="143" t="n"/>
      <c r="Y2" s="143" t="n"/>
      <c r="Z2" s="143" t="n"/>
      <c r="AA2" s="143" t="n"/>
      <c r="AB2" s="143" t="n"/>
      <c r="AC2" s="143" t="n"/>
      <c r="AD2" s="143" t="n"/>
      <c r="AE2" s="143" t="n"/>
      <c r="AF2" s="143" t="n"/>
    </row>
    <row r="3" ht="18" customHeight="1" s="534">
      <c r="B3" s="282" t="inlineStr">
        <is>
          <t>Uses Block</t>
        </is>
      </c>
      <c r="C3" s="282" t="n"/>
    </row>
    <row r="4" ht="16.5" customHeight="1" s="534">
      <c r="B4" s="253" t="inlineStr">
        <is>
          <t>Solar EPC Cost ($)</t>
        </is>
      </c>
      <c r="C4" s="276">
        <f>(Inputs!$D$12*1000*1000)*Inputs!$D$51</f>
        <v/>
      </c>
      <c r="D4" s="143" t="n"/>
      <c r="E4" s="143" t="n"/>
      <c r="F4" s="143" t="n"/>
      <c r="G4" s="143" t="n"/>
      <c r="H4" s="143" t="n"/>
      <c r="I4" s="143" t="n"/>
      <c r="J4" s="143" t="n"/>
      <c r="K4" s="143" t="n"/>
      <c r="L4" s="143" t="n"/>
      <c r="M4" s="143" t="n"/>
      <c r="N4" s="143" t="n"/>
      <c r="O4" s="143" t="n"/>
      <c r="P4" s="143" t="n"/>
      <c r="Q4" s="143" t="n"/>
      <c r="R4" s="143" t="n"/>
      <c r="S4" s="143" t="n"/>
      <c r="T4" s="143" t="n"/>
      <c r="U4" s="143" t="n"/>
      <c r="V4" s="143" t="n"/>
      <c r="W4" s="143" t="n"/>
      <c r="X4" s="143" t="n"/>
      <c r="Y4" s="143" t="n"/>
      <c r="Z4" s="143" t="n"/>
      <c r="AA4" s="143" t="n"/>
      <c r="AB4" s="143" t="n"/>
      <c r="AC4" s="143" t="n"/>
      <c r="AD4" s="143" t="n"/>
      <c r="AE4" s="143" t="n"/>
      <c r="AF4" s="143" t="n"/>
    </row>
    <row r="5" ht="16.5" customHeight="1" s="534">
      <c r="B5" s="251" t="inlineStr">
        <is>
          <t>BESS EPC Cost ($)</t>
        </is>
      </c>
      <c r="C5" s="257">
        <f>(Inputs!$D$23*1000)*Inputs!$D$52</f>
        <v/>
      </c>
      <c r="D5" s="143" t="n"/>
      <c r="E5" s="143" t="n"/>
      <c r="F5" s="143" t="n"/>
      <c r="G5" s="143" t="n"/>
      <c r="H5" s="143" t="n"/>
      <c r="I5" s="143" t="n"/>
      <c r="J5" s="143" t="n"/>
      <c r="K5" s="143" t="n"/>
      <c r="L5" s="143" t="n"/>
      <c r="M5" s="143" t="n"/>
      <c r="N5" s="143" t="n"/>
      <c r="O5" s="143" t="n"/>
      <c r="P5" s="143" t="n"/>
      <c r="Q5" s="143" t="n"/>
      <c r="R5" s="143" t="n"/>
      <c r="S5" s="143" t="n"/>
      <c r="T5" s="143" t="n"/>
      <c r="U5" s="143" t="n"/>
      <c r="V5" s="143" t="n"/>
      <c r="W5" s="143" t="n"/>
      <c r="X5" s="143" t="n"/>
      <c r="Y5" s="143" t="n"/>
      <c r="Z5" s="143" t="n"/>
      <c r="AA5" s="143" t="n"/>
      <c r="AB5" s="143" t="n"/>
      <c r="AC5" s="143" t="n"/>
      <c r="AD5" s="143" t="n"/>
      <c r="AE5" s="143" t="n"/>
      <c r="AF5" s="143" t="n"/>
    </row>
    <row r="6" ht="18" customHeight="1" s="534">
      <c r="B6" s="278" t="inlineStr">
        <is>
          <t>Subtotal Hard Costs ($)</t>
        </is>
      </c>
      <c r="C6" s="279">
        <f>SUM(C4:C5)</f>
        <v/>
      </c>
      <c r="D6" s="156" t="n"/>
      <c r="E6" s="156" t="n"/>
      <c r="F6" s="156" t="n"/>
      <c r="G6" s="156" t="n"/>
      <c r="H6" s="156" t="n"/>
      <c r="I6" s="156" t="n"/>
      <c r="J6" s="156" t="n"/>
      <c r="K6" s="156" t="n"/>
      <c r="L6" s="156" t="n"/>
      <c r="M6" s="156" t="n"/>
      <c r="N6" s="156" t="n"/>
      <c r="O6" s="156" t="n"/>
      <c r="P6" s="156" t="n"/>
      <c r="Q6" s="156" t="n"/>
      <c r="R6" s="156" t="n"/>
      <c r="S6" s="156" t="n"/>
      <c r="T6" s="156" t="n"/>
      <c r="U6" s="156" t="n"/>
      <c r="V6" s="156" t="n"/>
      <c r="W6" s="156" t="n"/>
      <c r="X6" s="156" t="n"/>
      <c r="Y6" s="156" t="n"/>
      <c r="Z6" s="156" t="n"/>
      <c r="AA6" s="156" t="n"/>
      <c r="AB6" s="156" t="n"/>
      <c r="AC6" s="156" t="n"/>
      <c r="AD6" s="156" t="n"/>
      <c r="AE6" s="156" t="n"/>
      <c r="AF6" s="156" t="n"/>
    </row>
    <row r="7" ht="16.5" customHeight="1" s="534">
      <c r="B7" s="251" t="inlineStr">
        <is>
          <t>Interconnection Cost ($)</t>
        </is>
      </c>
      <c r="C7" s="257">
        <f>Inputs!$D$53*1000000</f>
        <v/>
      </c>
      <c r="D7" s="143" t="n"/>
      <c r="E7" s="143" t="n"/>
      <c r="F7" s="143" t="n"/>
      <c r="G7" s="143" t="n"/>
      <c r="H7" s="143" t="n"/>
      <c r="I7" s="143" t="n"/>
      <c r="J7" s="143" t="n"/>
      <c r="K7" s="143" t="n"/>
      <c r="L7" s="143" t="n"/>
      <c r="M7" s="143" t="n"/>
      <c r="N7" s="143" t="n"/>
      <c r="O7" s="143" t="n"/>
      <c r="P7" s="143" t="n"/>
      <c r="Q7" s="143" t="n"/>
      <c r="R7" s="143" t="n"/>
      <c r="S7" s="143" t="n"/>
      <c r="T7" s="143" t="n"/>
      <c r="U7" s="143" t="n"/>
      <c r="V7" s="143" t="n"/>
      <c r="W7" s="143" t="n"/>
      <c r="X7" s="143" t="n"/>
      <c r="Y7" s="143" t="n"/>
      <c r="Z7" s="143" t="n"/>
      <c r="AA7" s="143" t="n"/>
      <c r="AB7" s="143" t="n"/>
      <c r="AC7" s="143" t="n"/>
      <c r="AD7" s="143" t="n"/>
      <c r="AE7" s="143" t="n"/>
      <c r="AF7" s="143" t="n"/>
    </row>
    <row r="8" ht="16.5" customHeight="1" s="534">
      <c r="B8" s="253" t="inlineStr">
        <is>
          <t>Development Costs ($)</t>
        </is>
      </c>
      <c r="C8" s="276">
        <f>Inputs!$D$54*1000000</f>
        <v/>
      </c>
      <c r="D8" s="143" t="n"/>
      <c r="E8" s="143" t="n"/>
      <c r="F8" s="143" t="n"/>
      <c r="G8" s="143" t="n"/>
      <c r="H8" s="143" t="n"/>
      <c r="I8" s="143" t="n"/>
      <c r="J8" s="143" t="n"/>
      <c r="K8" s="143" t="n"/>
      <c r="L8" s="143" t="n"/>
      <c r="M8" s="143" t="n"/>
      <c r="N8" s="143" t="n"/>
      <c r="O8" s="143" t="n"/>
      <c r="P8" s="143" t="n"/>
      <c r="Q8" s="143" t="n"/>
      <c r="R8" s="143" t="n"/>
      <c r="S8" s="143" t="n"/>
      <c r="T8" s="143" t="n"/>
      <c r="U8" s="143" t="n"/>
      <c r="V8" s="143" t="n"/>
      <c r="W8" s="143" t="n"/>
      <c r="X8" s="143" t="n"/>
      <c r="Y8" s="143" t="n"/>
      <c r="Z8" s="143" t="n"/>
      <c r="AA8" s="143" t="n"/>
      <c r="AB8" s="143" t="n"/>
      <c r="AC8" s="143" t="n"/>
      <c r="AD8" s="143" t="n"/>
      <c r="AE8" s="143" t="n"/>
      <c r="AF8" s="143" t="n"/>
    </row>
    <row r="9" ht="16.5" customHeight="1" s="534">
      <c r="B9" s="251" t="inlineStr">
        <is>
          <t>Owner's Contingency ($)</t>
        </is>
      </c>
      <c r="C9" s="257">
        <f>C6*Inputs!$D$55</f>
        <v/>
      </c>
      <c r="D9" s="143" t="n"/>
      <c r="E9" s="143" t="n"/>
      <c r="F9" s="143" t="n"/>
      <c r="G9" s="143" t="n"/>
      <c r="H9" s="143" t="n"/>
      <c r="I9" s="143" t="n"/>
      <c r="J9" s="143" t="n"/>
      <c r="K9" s="143" t="n"/>
      <c r="L9" s="143" t="n"/>
      <c r="M9" s="143" t="n"/>
      <c r="N9" s="143" t="n"/>
      <c r="O9" s="143" t="n"/>
      <c r="P9" s="143" t="n"/>
      <c r="Q9" s="143" t="n"/>
      <c r="R9" s="143" t="n"/>
      <c r="S9" s="143" t="n"/>
      <c r="T9" s="143" t="n"/>
      <c r="U9" s="143" t="n"/>
      <c r="V9" s="143" t="n"/>
      <c r="W9" s="143" t="n"/>
      <c r="X9" s="143" t="n"/>
      <c r="Y9" s="143" t="n"/>
      <c r="Z9" s="143" t="n"/>
      <c r="AA9" s="143" t="n"/>
      <c r="AB9" s="143" t="n"/>
      <c r="AC9" s="143" t="n"/>
      <c r="AD9" s="143" t="n"/>
      <c r="AE9" s="143" t="n"/>
      <c r="AF9" s="143" t="n"/>
    </row>
    <row r="10" ht="18" customHeight="1" s="534">
      <c r="B10" s="278" t="inlineStr">
        <is>
          <t>Subtotal Soft Costs ($)</t>
        </is>
      </c>
      <c r="C10" s="279">
        <f>SUM(C7:C9)</f>
        <v/>
      </c>
      <c r="D10" s="156" t="n"/>
      <c r="E10" s="156" t="n"/>
      <c r="F10" s="156" t="n"/>
      <c r="G10" s="156" t="n"/>
      <c r="H10" s="156" t="n"/>
      <c r="I10" s="156" t="n"/>
      <c r="J10" s="156" t="n"/>
      <c r="K10" s="156" t="n"/>
      <c r="L10" s="156" t="n"/>
      <c r="M10" s="156" t="n"/>
      <c r="N10" s="156" t="n"/>
      <c r="O10" s="156" t="n"/>
      <c r="P10" s="156" t="n"/>
      <c r="Q10" s="156" t="n"/>
      <c r="R10" s="156" t="n"/>
      <c r="S10" s="156" t="n"/>
      <c r="T10" s="156" t="n"/>
      <c r="U10" s="156" t="n"/>
      <c r="V10" s="156" t="n"/>
      <c r="W10" s="156" t="n"/>
      <c r="X10" s="156" t="n"/>
      <c r="Y10" s="156" t="n"/>
      <c r="Z10" s="156" t="n"/>
      <c r="AA10" s="156" t="n"/>
      <c r="AB10" s="156" t="n"/>
      <c r="AC10" s="156" t="n"/>
      <c r="AD10" s="156" t="n"/>
      <c r="AE10" s="156" t="n"/>
      <c r="AF10" s="156" t="n"/>
    </row>
    <row r="11" ht="18" customHeight="1" s="534">
      <c r="B11" s="280" t="inlineStr">
        <is>
          <t>Subtotal Project Cost ($)</t>
        </is>
      </c>
      <c r="C11" s="281">
        <f>C6+C10</f>
        <v/>
      </c>
      <c r="D11" s="156" t="n"/>
      <c r="E11" s="156" t="n"/>
      <c r="F11" s="156" t="n"/>
      <c r="G11" s="156" t="n"/>
      <c r="H11" s="156" t="n"/>
      <c r="I11" s="156" t="n"/>
      <c r="J11" s="156" t="n"/>
      <c r="K11" s="156" t="n"/>
      <c r="L11" s="156" t="n"/>
      <c r="M11" s="156" t="n"/>
      <c r="N11" s="156" t="n"/>
      <c r="O11" s="156" t="n"/>
      <c r="P11" s="156" t="n"/>
      <c r="Q11" s="156" t="n"/>
      <c r="R11" s="156" t="n"/>
      <c r="S11" s="156" t="n"/>
      <c r="T11" s="156" t="n"/>
      <c r="U11" s="156" t="n"/>
      <c r="V11" s="156" t="n"/>
      <c r="W11" s="156" t="n"/>
      <c r="X11" s="156" t="n"/>
      <c r="Y11" s="156" t="n"/>
      <c r="Z11" s="156" t="n"/>
      <c r="AA11" s="156" t="n"/>
      <c r="AB11" s="156" t="n"/>
      <c r="AC11" s="156" t="n"/>
      <c r="AD11" s="156" t="n"/>
      <c r="AE11" s="156" t="n"/>
      <c r="AF11" s="156" t="n"/>
    </row>
    <row r="12" ht="16.5" customHeight="1" s="534">
      <c r="B12" s="253" t="inlineStr">
        <is>
          <t>Financing Costs ($)</t>
        </is>
      </c>
      <c r="C12" s="277">
        <f>Inputs!$D$56*1000000</f>
        <v/>
      </c>
      <c r="D12" s="171" t="n"/>
      <c r="E12" s="143" t="n"/>
      <c r="F12" s="143" t="n"/>
      <c r="G12" s="143" t="n"/>
      <c r="H12" s="143" t="n"/>
      <c r="I12" s="143" t="n"/>
      <c r="J12" s="143" t="n"/>
      <c r="K12" s="143" t="n"/>
      <c r="L12" s="143" t="n"/>
      <c r="M12" s="143" t="n"/>
      <c r="N12" s="143" t="n"/>
      <c r="O12" s="143" t="n"/>
      <c r="P12" s="143" t="n"/>
      <c r="Q12" s="143" t="n"/>
      <c r="R12" s="143" t="n"/>
      <c r="S12" s="143" t="n"/>
      <c r="T12" s="143" t="n"/>
      <c r="U12" s="143" t="n"/>
      <c r="V12" s="143" t="n"/>
      <c r="W12" s="143" t="n"/>
      <c r="X12" s="143" t="n"/>
      <c r="Y12" s="143" t="n"/>
      <c r="Z12" s="143" t="n"/>
      <c r="AA12" s="143" t="n"/>
      <c r="AB12" s="143" t="n"/>
      <c r="AC12" s="143" t="n"/>
      <c r="AD12" s="143" t="n"/>
      <c r="AE12" s="143" t="n"/>
      <c r="AF12" s="143" t="n"/>
    </row>
    <row r="13" ht="18" customHeight="1" s="534">
      <c r="B13" s="274" t="inlineStr">
        <is>
          <t>Total Project Cost ($)</t>
        </is>
      </c>
      <c r="C13" s="275">
        <f>C11+C12</f>
        <v/>
      </c>
      <c r="D13" s="172" t="n"/>
      <c r="E13" s="156" t="n"/>
      <c r="F13" s="156" t="n"/>
      <c r="G13" s="156" t="n"/>
      <c r="H13" s="156" t="n"/>
      <c r="I13" s="156" t="n"/>
      <c r="J13" s="156" t="n"/>
      <c r="K13" s="156" t="n"/>
      <c r="L13" s="156" t="n"/>
      <c r="M13" s="156" t="n"/>
      <c r="N13" s="156" t="n"/>
      <c r="O13" s="156" t="n"/>
      <c r="P13" s="156" t="n"/>
      <c r="Q13" s="156" t="n"/>
      <c r="R13" s="156" t="n"/>
      <c r="S13" s="156" t="n"/>
      <c r="T13" s="156" t="n"/>
      <c r="U13" s="156" t="n"/>
      <c r="V13" s="156" t="n"/>
      <c r="W13" s="156" t="n"/>
      <c r="X13" s="156" t="n"/>
      <c r="Y13" s="156" t="n"/>
      <c r="Z13" s="156" t="n"/>
      <c r="AA13" s="156" t="n"/>
      <c r="AB13" s="156" t="n"/>
      <c r="AC13" s="156" t="n"/>
      <c r="AD13" s="156" t="n"/>
      <c r="AE13" s="156" t="n"/>
      <c r="AF13" s="156" t="n"/>
    </row>
    <row r="14" ht="16.5" customHeight="1" s="534">
      <c r="A14" s="144" t="n"/>
      <c r="B14" s="145" t="n"/>
      <c r="C14" s="146" t="n"/>
      <c r="D14" s="143" t="n"/>
      <c r="E14" s="143" t="n"/>
      <c r="F14" s="143" t="n"/>
      <c r="G14" s="143" t="n"/>
      <c r="H14" s="143" t="n"/>
      <c r="I14" s="143" t="n"/>
      <c r="J14" s="143" t="n"/>
      <c r="K14" s="143" t="n"/>
      <c r="L14" s="143" t="n"/>
      <c r="M14" s="143" t="n"/>
      <c r="N14" s="143" t="n"/>
      <c r="O14" s="143" t="n"/>
      <c r="P14" s="143" t="n"/>
      <c r="Q14" s="143" t="n"/>
      <c r="R14" s="143" t="n"/>
      <c r="S14" s="143" t="n"/>
      <c r="T14" s="143" t="n"/>
      <c r="U14" s="143" t="n"/>
      <c r="V14" s="143" t="n"/>
      <c r="W14" s="143" t="n"/>
      <c r="X14" s="143" t="n"/>
      <c r="Y14" s="143" t="n"/>
      <c r="Z14" s="143" t="n"/>
      <c r="AA14" s="143" t="n"/>
      <c r="AB14" s="143" t="n"/>
      <c r="AC14" s="143" t="n"/>
      <c r="AD14" s="143" t="n"/>
      <c r="AE14" s="143" t="n"/>
      <c r="AF14" s="143" t="n"/>
    </row>
    <row r="15" ht="16.5" customHeight="1" s="534">
      <c r="B15" s="142" t="n"/>
      <c r="C15" s="143" t="n"/>
      <c r="D15" s="143" t="n"/>
      <c r="E15" s="143" t="n"/>
      <c r="F15" s="143" t="n"/>
      <c r="G15" s="143" t="n"/>
      <c r="H15" s="143" t="n"/>
      <c r="I15" s="143" t="n"/>
      <c r="J15" s="143" t="n"/>
      <c r="K15" s="143" t="n"/>
      <c r="L15" s="143" t="n"/>
      <c r="M15" s="143" t="n"/>
      <c r="N15" s="143" t="n"/>
      <c r="O15" s="143" t="n"/>
      <c r="P15" s="143" t="n"/>
      <c r="Q15" s="143" t="n"/>
      <c r="R15" s="143" t="n"/>
      <c r="S15" s="143" t="n"/>
      <c r="T15" s="143" t="n"/>
      <c r="U15" s="143" t="n"/>
      <c r="V15" s="143" t="n"/>
      <c r="W15" s="143" t="n"/>
      <c r="X15" s="143" t="n"/>
      <c r="Y15" s="143" t="n"/>
      <c r="Z15" s="143" t="n"/>
      <c r="AA15" s="143" t="n"/>
      <c r="AB15" s="143" t="n"/>
      <c r="AC15" s="143" t="n"/>
      <c r="AD15" s="143" t="n"/>
      <c r="AE15" s="143" t="n"/>
      <c r="AF15" s="143" t="n"/>
    </row>
    <row r="16" ht="18" customHeight="1" s="534" thickBot="1">
      <c r="B16" s="290" t="inlineStr">
        <is>
          <t>Year N Production</t>
        </is>
      </c>
      <c r="C16" s="290" t="n">
        <v>1</v>
      </c>
      <c r="D16" s="290" t="n">
        <v>2</v>
      </c>
      <c r="E16" s="290" t="n">
        <v>3</v>
      </c>
      <c r="F16" s="290" t="n">
        <v>4</v>
      </c>
      <c r="G16" s="290" t="n">
        <v>5</v>
      </c>
      <c r="H16" s="290" t="n">
        <v>6</v>
      </c>
      <c r="I16" s="290" t="n">
        <v>7</v>
      </c>
      <c r="J16" s="290" t="n">
        <v>8</v>
      </c>
      <c r="K16" s="290" t="n">
        <v>9</v>
      </c>
      <c r="L16" s="290" t="n">
        <v>10</v>
      </c>
      <c r="M16" s="290" t="n">
        <v>11</v>
      </c>
      <c r="N16" s="290" t="n">
        <v>12</v>
      </c>
      <c r="O16" s="290" t="n">
        <v>13</v>
      </c>
      <c r="P16" s="290" t="n">
        <v>14</v>
      </c>
      <c r="Q16" s="290" t="n">
        <v>15</v>
      </c>
      <c r="R16" s="290" t="n">
        <v>16</v>
      </c>
      <c r="S16" s="290" t="n">
        <v>17</v>
      </c>
      <c r="T16" s="290" t="n">
        <v>18</v>
      </c>
      <c r="U16" s="290" t="n">
        <v>19</v>
      </c>
      <c r="V16" s="290" t="n">
        <v>20</v>
      </c>
      <c r="W16" s="290" t="n">
        <v>21</v>
      </c>
      <c r="X16" s="290" t="n">
        <v>22</v>
      </c>
      <c r="Y16" s="290" t="n">
        <v>23</v>
      </c>
      <c r="Z16" s="290" t="n">
        <v>24</v>
      </c>
      <c r="AA16" s="290" t="n">
        <v>25</v>
      </c>
      <c r="AB16" s="290" t="n">
        <v>26</v>
      </c>
      <c r="AC16" s="290" t="n">
        <v>27</v>
      </c>
      <c r="AD16" s="290" t="n">
        <v>28</v>
      </c>
      <c r="AE16" s="290" t="n">
        <v>29</v>
      </c>
      <c r="AF16" s="290" t="n">
        <v>30</v>
      </c>
      <c r="AG16" s="170" t="n"/>
    </row>
    <row r="17" ht="16.5" customHeight="1" s="534" thickBot="1">
      <c r="A17" s="82" t="inlineStr">
        <is>
          <t>Opex</t>
        </is>
      </c>
      <c r="B17" s="82" t="n"/>
      <c r="C17" s="82" t="n"/>
      <c r="D17" s="82" t="n"/>
      <c r="E17" s="82" t="n"/>
      <c r="F17" s="82" t="n"/>
      <c r="G17" s="82" t="n"/>
      <c r="H17" s="82" t="n"/>
      <c r="I17" s="82" t="n"/>
      <c r="J17" s="82" t="n"/>
      <c r="K17" s="82" t="n"/>
      <c r="L17" s="82" t="n"/>
      <c r="M17" s="82" t="n"/>
      <c r="N17" s="82" t="n"/>
      <c r="O17" s="82" t="n"/>
      <c r="P17" s="82" t="n"/>
      <c r="Q17" s="82" t="n"/>
      <c r="R17" s="82" t="n"/>
      <c r="S17" s="82" t="n"/>
      <c r="T17" s="82" t="n"/>
      <c r="U17" s="82" t="n"/>
      <c r="V17" s="82" t="n"/>
      <c r="W17" s="82" t="n"/>
      <c r="X17" s="82" t="n"/>
      <c r="Y17" s="82" t="n"/>
      <c r="Z17" s="82" t="n"/>
      <c r="AA17" s="82" t="n"/>
      <c r="AB17" s="82" t="n"/>
      <c r="AC17" s="82" t="n"/>
      <c r="AD17" s="82" t="n"/>
      <c r="AE17" s="82" t="n"/>
      <c r="AF17" s="82" t="n"/>
      <c r="AG17" s="170" t="n"/>
    </row>
    <row r="18" ht="16.5" customHeight="1" s="534">
      <c r="B18" s="253" t="inlineStr">
        <is>
          <t>Opex Escalator Factor</t>
        </is>
      </c>
      <c r="C18" s="562">
        <f>(1+Inputs!$D$65)^(Costs!C16-1)</f>
        <v/>
      </c>
      <c r="D18" s="562">
        <f>(1+Inputs!$D$65)^(Costs!D16-1)</f>
        <v/>
      </c>
      <c r="E18" s="562">
        <f>(1+Inputs!$D$65)^(Costs!E16-1)</f>
        <v/>
      </c>
      <c r="F18" s="562">
        <f>(1+Inputs!$D$65)^(Costs!F16-1)</f>
        <v/>
      </c>
      <c r="G18" s="562">
        <f>(1+Inputs!$D$65)^(Costs!G16-1)</f>
        <v/>
      </c>
      <c r="H18" s="562">
        <f>(1+Inputs!$D$65)^(Costs!H16-1)</f>
        <v/>
      </c>
      <c r="I18" s="562">
        <f>(1+Inputs!$D$65)^(Costs!I16-1)</f>
        <v/>
      </c>
      <c r="J18" s="562">
        <f>(1+Inputs!$D$65)^(Costs!J16-1)</f>
        <v/>
      </c>
      <c r="K18" s="562">
        <f>(1+Inputs!$D$65)^(Costs!K16-1)</f>
        <v/>
      </c>
      <c r="L18" s="562">
        <f>(1+Inputs!$D$65)^(Costs!L16-1)</f>
        <v/>
      </c>
      <c r="M18" s="562">
        <f>(1+Inputs!$D$65)^(Costs!M16-1)</f>
        <v/>
      </c>
      <c r="N18" s="562">
        <f>(1+Inputs!$D$65)^(Costs!N16-1)</f>
        <v/>
      </c>
      <c r="O18" s="562">
        <f>(1+Inputs!$D$65)^(Costs!O16-1)</f>
        <v/>
      </c>
      <c r="P18" s="562">
        <f>(1+Inputs!$D$65)^(Costs!P16-1)</f>
        <v/>
      </c>
      <c r="Q18" s="562">
        <f>(1+Inputs!$D$65)^(Costs!Q16-1)</f>
        <v/>
      </c>
      <c r="R18" s="562">
        <f>(1+Inputs!$D$65)^(Costs!R16-1)</f>
        <v/>
      </c>
      <c r="S18" s="562">
        <f>(1+Inputs!$D$65)^(Costs!S16-1)</f>
        <v/>
      </c>
      <c r="T18" s="562">
        <f>(1+Inputs!$D$65)^(Costs!T16-1)</f>
        <v/>
      </c>
      <c r="U18" s="562">
        <f>(1+Inputs!$D$65)^(Costs!U16-1)</f>
        <v/>
      </c>
      <c r="V18" s="562">
        <f>(1+Inputs!$D$65)^(Costs!V16-1)</f>
        <v/>
      </c>
      <c r="W18" s="562">
        <f>(1+Inputs!$D$65)^(Costs!W16-1)</f>
        <v/>
      </c>
      <c r="X18" s="562">
        <f>(1+Inputs!$D$65)^(Costs!X16-1)</f>
        <v/>
      </c>
      <c r="Y18" s="562">
        <f>(1+Inputs!$D$65)^(Costs!Y16-1)</f>
        <v/>
      </c>
      <c r="Z18" s="562">
        <f>(1+Inputs!$D$65)^(Costs!Z16-1)</f>
        <v/>
      </c>
      <c r="AA18" s="562">
        <f>(1+Inputs!$D$65)^(Costs!AA16-1)</f>
        <v/>
      </c>
      <c r="AB18" s="562">
        <f>(1+Inputs!$D$65)^(Costs!AB16-1)</f>
        <v/>
      </c>
      <c r="AC18" s="562">
        <f>(1+Inputs!$D$65)^(Costs!AC16-1)</f>
        <v/>
      </c>
      <c r="AD18" s="562">
        <f>(1+Inputs!$D$65)^(Costs!AD16-1)</f>
        <v/>
      </c>
      <c r="AE18" s="562">
        <f>(1+Inputs!$D$65)^(Costs!AE16-1)</f>
        <v/>
      </c>
      <c r="AF18" s="563">
        <f>(1+Inputs!$D$65)^(Costs!AF16-1)</f>
        <v/>
      </c>
      <c r="AG18" s="170" t="n"/>
    </row>
    <row r="19" ht="16.5" customHeight="1" s="534">
      <c r="B19" s="251" t="inlineStr">
        <is>
          <t>Solar Fixed O&amp;M ($)</t>
        </is>
      </c>
      <c r="C19" s="257">
        <f>Inputs!$D$58*Inputs!$D$11*1000*Costs!C18</f>
        <v/>
      </c>
      <c r="D19" s="257">
        <f>Inputs!$D$58*Inputs!$D$11*1000*Costs!D18</f>
        <v/>
      </c>
      <c r="E19" s="257">
        <f>Inputs!$D$58*Inputs!$D$11*1000*Costs!E18</f>
        <v/>
      </c>
      <c r="F19" s="257">
        <f>Inputs!$D$58*Inputs!$D$11*1000*Costs!F18</f>
        <v/>
      </c>
      <c r="G19" s="257">
        <f>Inputs!$D$58*Inputs!$D$11*1000*Costs!G18</f>
        <v/>
      </c>
      <c r="H19" s="257">
        <f>Inputs!$D$58*Inputs!$D$11*1000*Costs!H18</f>
        <v/>
      </c>
      <c r="I19" s="257">
        <f>Inputs!$D$58*Inputs!$D$11*1000*Costs!I18</f>
        <v/>
      </c>
      <c r="J19" s="257">
        <f>Inputs!$D$58*Inputs!$D$11*1000*Costs!J18</f>
        <v/>
      </c>
      <c r="K19" s="257">
        <f>Inputs!$D$58*Inputs!$D$11*1000*Costs!K18</f>
        <v/>
      </c>
      <c r="L19" s="257">
        <f>Inputs!$D$58*Inputs!$D$11*1000*Costs!L18</f>
        <v/>
      </c>
      <c r="M19" s="257">
        <f>Inputs!$D$58*Inputs!$D$11*1000*Costs!M18</f>
        <v/>
      </c>
      <c r="N19" s="257">
        <f>Inputs!$D$58*Inputs!$D$11*1000*Costs!N18</f>
        <v/>
      </c>
      <c r="O19" s="257">
        <f>Inputs!$D$58*Inputs!$D$11*1000*Costs!O18</f>
        <v/>
      </c>
      <c r="P19" s="257">
        <f>Inputs!$D$58*Inputs!$D$11*1000*Costs!P18</f>
        <v/>
      </c>
      <c r="Q19" s="257">
        <f>Inputs!$D$58*Inputs!$D$11*1000*Costs!Q18</f>
        <v/>
      </c>
      <c r="R19" s="257">
        <f>Inputs!$D$58*Inputs!$D$11*1000*Costs!R18</f>
        <v/>
      </c>
      <c r="S19" s="257">
        <f>Inputs!$D$58*Inputs!$D$11*1000*Costs!S18</f>
        <v/>
      </c>
      <c r="T19" s="257">
        <f>Inputs!$D$58*Inputs!$D$11*1000*Costs!T18</f>
        <v/>
      </c>
      <c r="U19" s="257">
        <f>Inputs!$D$58*Inputs!$D$11*1000*Costs!U18</f>
        <v/>
      </c>
      <c r="V19" s="257">
        <f>Inputs!$D$58*Inputs!$D$11*1000*Costs!V18</f>
        <v/>
      </c>
      <c r="W19" s="257">
        <f>Inputs!$D$58*Inputs!$D$11*1000*Costs!W18</f>
        <v/>
      </c>
      <c r="X19" s="257">
        <f>Inputs!$D$58*Inputs!$D$11*1000*Costs!X18</f>
        <v/>
      </c>
      <c r="Y19" s="257">
        <f>Inputs!$D$58*Inputs!$D$11*1000*Costs!Y18</f>
        <v/>
      </c>
      <c r="Z19" s="257">
        <f>Inputs!$D$58*Inputs!$D$11*1000*Costs!Z18</f>
        <v/>
      </c>
      <c r="AA19" s="257">
        <f>Inputs!$D$58*Inputs!$D$11*1000*Costs!AA18</f>
        <v/>
      </c>
      <c r="AB19" s="257">
        <f>Inputs!$D$58*Inputs!$D$11*1000*Costs!AB18</f>
        <v/>
      </c>
      <c r="AC19" s="257">
        <f>Inputs!$D$58*Inputs!$D$11*1000*Costs!AC18</f>
        <v/>
      </c>
      <c r="AD19" s="257">
        <f>Inputs!$D$58*Inputs!$D$11*1000*Costs!AD18</f>
        <v/>
      </c>
      <c r="AE19" s="257">
        <f>Inputs!$D$58*Inputs!$D$11*1000*Costs!AE18</f>
        <v/>
      </c>
      <c r="AF19" s="258">
        <f>Inputs!$D$58*Inputs!$D$11*1000*Costs!AF18</f>
        <v/>
      </c>
      <c r="AG19" s="170" t="n"/>
    </row>
    <row r="20" ht="16.5" customHeight="1" s="534">
      <c r="B20" s="253" t="inlineStr">
        <is>
          <t>BESS Fixed O&amp;M ($)</t>
        </is>
      </c>
      <c r="C20" s="276">
        <f>Inputs!$D$59*Inputs!$D$23*1000*Costs!C18</f>
        <v/>
      </c>
      <c r="D20" s="276">
        <f>Inputs!$D$59*Inputs!$D$23*1000*Costs!D18</f>
        <v/>
      </c>
      <c r="E20" s="276">
        <f>Inputs!$D$59*Inputs!$D$23*1000*Costs!E18</f>
        <v/>
      </c>
      <c r="F20" s="276">
        <f>Inputs!$D$59*Inputs!$D$23*1000*Costs!F18</f>
        <v/>
      </c>
      <c r="G20" s="276">
        <f>Inputs!$D$59*Inputs!$D$23*1000*Costs!G18</f>
        <v/>
      </c>
      <c r="H20" s="276">
        <f>Inputs!$D$59*Inputs!$D$23*1000*Costs!H18</f>
        <v/>
      </c>
      <c r="I20" s="276">
        <f>Inputs!$D$59*Inputs!$D$23*1000*Costs!I18</f>
        <v/>
      </c>
      <c r="J20" s="276">
        <f>Inputs!$D$59*Inputs!$D$23*1000*Costs!J18</f>
        <v/>
      </c>
      <c r="K20" s="276">
        <f>Inputs!$D$59*Inputs!$D$23*1000*Costs!K18</f>
        <v/>
      </c>
      <c r="L20" s="276">
        <f>Inputs!$D$59*Inputs!$D$23*1000*Costs!L18</f>
        <v/>
      </c>
      <c r="M20" s="276">
        <f>Inputs!$D$59*Inputs!$D$23*1000*Costs!M18</f>
        <v/>
      </c>
      <c r="N20" s="276">
        <f>Inputs!$D$59*Inputs!$D$23*1000*Costs!N18</f>
        <v/>
      </c>
      <c r="O20" s="276">
        <f>Inputs!$D$59*Inputs!$D$23*1000*Costs!O18</f>
        <v/>
      </c>
      <c r="P20" s="276">
        <f>Inputs!$D$59*Inputs!$D$23*1000*Costs!P18</f>
        <v/>
      </c>
      <c r="Q20" s="276">
        <f>Inputs!$D$59*Inputs!$D$23*1000*Costs!Q18</f>
        <v/>
      </c>
      <c r="R20" s="276">
        <f>Inputs!$D$59*Inputs!$D$23*1000*Costs!R18</f>
        <v/>
      </c>
      <c r="S20" s="276">
        <f>Inputs!$D$59*Inputs!$D$23*1000*Costs!S18</f>
        <v/>
      </c>
      <c r="T20" s="276">
        <f>Inputs!$D$59*Inputs!$D$23*1000*Costs!T18</f>
        <v/>
      </c>
      <c r="U20" s="276">
        <f>Inputs!$D$59*Inputs!$D$23*1000*Costs!U18</f>
        <v/>
      </c>
      <c r="V20" s="276">
        <f>Inputs!$D$59*Inputs!$D$23*1000*Costs!V18</f>
        <v/>
      </c>
      <c r="W20" s="276">
        <f>Inputs!$D$59*Inputs!$D$23*1000*Costs!W18</f>
        <v/>
      </c>
      <c r="X20" s="276">
        <f>Inputs!$D$59*Inputs!$D$23*1000*Costs!X18</f>
        <v/>
      </c>
      <c r="Y20" s="276">
        <f>Inputs!$D$59*Inputs!$D$23*1000*Costs!Y18</f>
        <v/>
      </c>
      <c r="Z20" s="276">
        <f>Inputs!$D$59*Inputs!$D$23*1000*Costs!Z18</f>
        <v/>
      </c>
      <c r="AA20" s="276">
        <f>Inputs!$D$59*Inputs!$D$23*1000*Costs!AA18</f>
        <v/>
      </c>
      <c r="AB20" s="276">
        <f>Inputs!$D$59*Inputs!$D$23*1000*Costs!AB18</f>
        <v/>
      </c>
      <c r="AC20" s="276">
        <f>Inputs!$D$59*Inputs!$D$23*1000*Costs!AC18</f>
        <v/>
      </c>
      <c r="AD20" s="276">
        <f>Inputs!$D$59*Inputs!$D$23*1000*Costs!AD18</f>
        <v/>
      </c>
      <c r="AE20" s="276">
        <f>Inputs!$D$59*Inputs!$D$23*1000*Costs!AE18</f>
        <v/>
      </c>
      <c r="AF20" s="277">
        <f>Inputs!$D$59*Inputs!$D$23*1000*Costs!AF18</f>
        <v/>
      </c>
      <c r="AG20" s="170" t="n"/>
    </row>
    <row r="21" ht="16.5" customHeight="1" s="534">
      <c r="B21" s="251" t="inlineStr">
        <is>
          <t>Land Lease ($)</t>
        </is>
      </c>
      <c r="C21" s="257">
        <f>Inputs!$D$61*Inputs!$D$60*Costs!C18</f>
        <v/>
      </c>
      <c r="D21" s="257">
        <f>Inputs!$D$61*Inputs!$D$60*Costs!D18</f>
        <v/>
      </c>
      <c r="E21" s="257">
        <f>Inputs!$D$61*Inputs!$D$60*Costs!E18</f>
        <v/>
      </c>
      <c r="F21" s="257">
        <f>Inputs!$D$61*Inputs!$D$60*Costs!F18</f>
        <v/>
      </c>
      <c r="G21" s="257">
        <f>Inputs!$D$61*Inputs!$D$60*Costs!G18</f>
        <v/>
      </c>
      <c r="H21" s="257">
        <f>Inputs!$D$61*Inputs!$D$60*Costs!H18</f>
        <v/>
      </c>
      <c r="I21" s="257">
        <f>Inputs!$D$61*Inputs!$D$60*Costs!I18</f>
        <v/>
      </c>
      <c r="J21" s="257">
        <f>Inputs!$D$61*Inputs!$D$60*Costs!J18</f>
        <v/>
      </c>
      <c r="K21" s="257">
        <f>Inputs!$D$61*Inputs!$D$60*Costs!K18</f>
        <v/>
      </c>
      <c r="L21" s="257">
        <f>Inputs!$D$61*Inputs!$D$60*Costs!L18</f>
        <v/>
      </c>
      <c r="M21" s="257">
        <f>Inputs!$D$61*Inputs!$D$60*Costs!M18</f>
        <v/>
      </c>
      <c r="N21" s="257">
        <f>Inputs!$D$61*Inputs!$D$60*Costs!N18</f>
        <v/>
      </c>
      <c r="O21" s="257">
        <f>Inputs!$D$61*Inputs!$D$60*Costs!O18</f>
        <v/>
      </c>
      <c r="P21" s="257">
        <f>Inputs!$D$61*Inputs!$D$60*Costs!P18</f>
        <v/>
      </c>
      <c r="Q21" s="257">
        <f>Inputs!$D$61*Inputs!$D$60*Costs!Q18</f>
        <v/>
      </c>
      <c r="R21" s="257">
        <f>Inputs!$D$61*Inputs!$D$60*Costs!R18</f>
        <v/>
      </c>
      <c r="S21" s="257">
        <f>Inputs!$D$61*Inputs!$D$60*Costs!S18</f>
        <v/>
      </c>
      <c r="T21" s="257">
        <f>Inputs!$D$61*Inputs!$D$60*Costs!T18</f>
        <v/>
      </c>
      <c r="U21" s="257">
        <f>Inputs!$D$61*Inputs!$D$60*Costs!U18</f>
        <v/>
      </c>
      <c r="V21" s="257">
        <f>Inputs!$D$61*Inputs!$D$60*Costs!V18</f>
        <v/>
      </c>
      <c r="W21" s="257">
        <f>Inputs!$D$61*Inputs!$D$60*Costs!W18</f>
        <v/>
      </c>
      <c r="X21" s="257">
        <f>Inputs!$D$61*Inputs!$D$60*Costs!X18</f>
        <v/>
      </c>
      <c r="Y21" s="257">
        <f>Inputs!$D$61*Inputs!$D$60*Costs!Y18</f>
        <v/>
      </c>
      <c r="Z21" s="257">
        <f>Inputs!$D$61*Inputs!$D$60*Costs!Z18</f>
        <v/>
      </c>
      <c r="AA21" s="257">
        <f>Inputs!$D$61*Inputs!$D$60*Costs!AA18</f>
        <v/>
      </c>
      <c r="AB21" s="257">
        <f>Inputs!$D$61*Inputs!$D$60*Costs!AB18</f>
        <v/>
      </c>
      <c r="AC21" s="257">
        <f>Inputs!$D$61*Inputs!$D$60*Costs!AC18</f>
        <v/>
      </c>
      <c r="AD21" s="257">
        <f>Inputs!$D$61*Inputs!$D$60*Costs!AD18</f>
        <v/>
      </c>
      <c r="AE21" s="257">
        <f>Inputs!$D$61*Inputs!$D$60*Costs!AE18</f>
        <v/>
      </c>
      <c r="AF21" s="258">
        <f>Inputs!$D$61*Inputs!$D$60*Costs!AF18</f>
        <v/>
      </c>
      <c r="AG21" s="170" t="n"/>
    </row>
    <row r="22" ht="16.5" customHeight="1" s="534">
      <c r="B22" s="253" t="inlineStr">
        <is>
          <t>Insurance ($)</t>
        </is>
      </c>
      <c r="C22" s="285">
        <f>$C$13*Inputs!$D$62*Costs!C18</f>
        <v/>
      </c>
      <c r="D22" s="285">
        <f>$C$13*Inputs!$D$62*Costs!D18</f>
        <v/>
      </c>
      <c r="E22" s="285">
        <f>$C$13*Inputs!$D$62*Costs!E18</f>
        <v/>
      </c>
      <c r="F22" s="285">
        <f>$C$13*Inputs!$D$62*Costs!F18</f>
        <v/>
      </c>
      <c r="G22" s="285">
        <f>$C$13*Inputs!$D$62*Costs!G18</f>
        <v/>
      </c>
      <c r="H22" s="285">
        <f>$C$13*Inputs!$D$62*Costs!H18</f>
        <v/>
      </c>
      <c r="I22" s="285">
        <f>$C$13*Inputs!$D$62*Costs!I18</f>
        <v/>
      </c>
      <c r="J22" s="285">
        <f>$C$13*Inputs!$D$62*Costs!J18</f>
        <v/>
      </c>
      <c r="K22" s="285">
        <f>$C$13*Inputs!$D$62*Costs!K18</f>
        <v/>
      </c>
      <c r="L22" s="285">
        <f>$C$13*Inputs!$D$62*Costs!L18</f>
        <v/>
      </c>
      <c r="M22" s="285">
        <f>$C$13*Inputs!$D$62*Costs!M18</f>
        <v/>
      </c>
      <c r="N22" s="285">
        <f>$C$13*Inputs!$D$62*Costs!N18</f>
        <v/>
      </c>
      <c r="O22" s="285">
        <f>$C$13*Inputs!$D$62*Costs!O18</f>
        <v/>
      </c>
      <c r="P22" s="285">
        <f>$C$13*Inputs!$D$62*Costs!P18</f>
        <v/>
      </c>
      <c r="Q22" s="285">
        <f>$C$13*Inputs!$D$62*Costs!Q18</f>
        <v/>
      </c>
      <c r="R22" s="285">
        <f>$C$13*Inputs!$D$62*Costs!R18</f>
        <v/>
      </c>
      <c r="S22" s="285">
        <f>$C$13*Inputs!$D$62*Costs!S18</f>
        <v/>
      </c>
      <c r="T22" s="285">
        <f>$C$13*Inputs!$D$62*Costs!T18</f>
        <v/>
      </c>
      <c r="U22" s="285">
        <f>$C$13*Inputs!$D$62*Costs!U18</f>
        <v/>
      </c>
      <c r="V22" s="285">
        <f>$C$13*Inputs!$D$62*Costs!V18</f>
        <v/>
      </c>
      <c r="W22" s="285">
        <f>$C$13*Inputs!$D$62*Costs!W18</f>
        <v/>
      </c>
      <c r="X22" s="285">
        <f>$C$13*Inputs!$D$62*Costs!X18</f>
        <v/>
      </c>
      <c r="Y22" s="285">
        <f>$C$13*Inputs!$D$62*Costs!Y18</f>
        <v/>
      </c>
      <c r="Z22" s="285">
        <f>$C$13*Inputs!$D$62*Costs!Z18</f>
        <v/>
      </c>
      <c r="AA22" s="285">
        <f>$C$13*Inputs!$D$62*Costs!AA18</f>
        <v/>
      </c>
      <c r="AB22" s="285">
        <f>$C$13*Inputs!$D$62*Costs!AB18</f>
        <v/>
      </c>
      <c r="AC22" s="285">
        <f>$C$13*Inputs!$D$62*Costs!AC18</f>
        <v/>
      </c>
      <c r="AD22" s="285">
        <f>$C$13*Inputs!$D$62*Costs!AD18</f>
        <v/>
      </c>
      <c r="AE22" s="285">
        <f>$C$13*Inputs!$D$62*Costs!AE18</f>
        <v/>
      </c>
      <c r="AF22" s="286">
        <f>$C$13*Inputs!$D$62*Costs!AF18</f>
        <v/>
      </c>
      <c r="AG22" s="170" t="n"/>
    </row>
    <row r="23" ht="16.5" customHeight="1" s="534">
      <c r="B23" s="251" t="inlineStr">
        <is>
          <t>Asset Management Fee ($)</t>
        </is>
      </c>
      <c r="C23" s="257">
        <f>Inputs!$D$63*1000*Costs!C18</f>
        <v/>
      </c>
      <c r="D23" s="257">
        <f>Inputs!$D$63*1000*Costs!D18</f>
        <v/>
      </c>
      <c r="E23" s="257">
        <f>Inputs!$D$63*1000*Costs!E18</f>
        <v/>
      </c>
      <c r="F23" s="257">
        <f>Inputs!$D$63*1000*Costs!F18</f>
        <v/>
      </c>
      <c r="G23" s="257">
        <f>Inputs!$D$63*1000*Costs!G18</f>
        <v/>
      </c>
      <c r="H23" s="257">
        <f>Inputs!$D$63*1000*Costs!H18</f>
        <v/>
      </c>
      <c r="I23" s="257">
        <f>Inputs!$D$63*1000*Costs!I18</f>
        <v/>
      </c>
      <c r="J23" s="257">
        <f>Inputs!$D$63*1000*Costs!J18</f>
        <v/>
      </c>
      <c r="K23" s="257">
        <f>Inputs!$D$63*1000*Costs!K18</f>
        <v/>
      </c>
      <c r="L23" s="257">
        <f>Inputs!$D$63*1000*Costs!L18</f>
        <v/>
      </c>
      <c r="M23" s="257">
        <f>Inputs!$D$63*1000*Costs!M18</f>
        <v/>
      </c>
      <c r="N23" s="257">
        <f>Inputs!$D$63*1000*Costs!N18</f>
        <v/>
      </c>
      <c r="O23" s="257">
        <f>Inputs!$D$63*1000*Costs!O18</f>
        <v/>
      </c>
      <c r="P23" s="257">
        <f>Inputs!$D$63*1000*Costs!P18</f>
        <v/>
      </c>
      <c r="Q23" s="257">
        <f>Inputs!$D$63*1000*Costs!Q18</f>
        <v/>
      </c>
      <c r="R23" s="257">
        <f>Inputs!$D$63*1000*Costs!R18</f>
        <v/>
      </c>
      <c r="S23" s="257">
        <f>Inputs!$D$63*1000*Costs!S18</f>
        <v/>
      </c>
      <c r="T23" s="257">
        <f>Inputs!$D$63*1000*Costs!T18</f>
        <v/>
      </c>
      <c r="U23" s="257">
        <f>Inputs!$D$63*1000*Costs!U18</f>
        <v/>
      </c>
      <c r="V23" s="257">
        <f>Inputs!$D$63*1000*Costs!V18</f>
        <v/>
      </c>
      <c r="W23" s="257">
        <f>Inputs!$D$63*1000*Costs!W18</f>
        <v/>
      </c>
      <c r="X23" s="257">
        <f>Inputs!$D$63*1000*Costs!X18</f>
        <v/>
      </c>
      <c r="Y23" s="257">
        <f>Inputs!$D$63*1000*Costs!Y18</f>
        <v/>
      </c>
      <c r="Z23" s="257">
        <f>Inputs!$D$63*1000*Costs!Z18</f>
        <v/>
      </c>
      <c r="AA23" s="257">
        <f>Inputs!$D$63*1000*Costs!AA18</f>
        <v/>
      </c>
      <c r="AB23" s="257">
        <f>Inputs!$D$63*1000*Costs!AB18</f>
        <v/>
      </c>
      <c r="AC23" s="257">
        <f>Inputs!$D$63*1000*Costs!AC18</f>
        <v/>
      </c>
      <c r="AD23" s="257">
        <f>Inputs!$D$63*1000*Costs!AD18</f>
        <v/>
      </c>
      <c r="AE23" s="257">
        <f>Inputs!$D$63*1000*Costs!AE18</f>
        <v/>
      </c>
      <c r="AF23" s="258">
        <f>Inputs!$D$63*1000*Costs!AF18</f>
        <v/>
      </c>
      <c r="AG23" s="170" t="n"/>
    </row>
    <row r="24" ht="16.5" customHeight="1" s="534">
      <c r="B24" s="253" t="inlineStr">
        <is>
          <t>Transmission / CAISO Fees ($)</t>
        </is>
      </c>
      <c r="C24" s="276">
        <f>Inputs!$D$64*1000000*Costs!C18</f>
        <v/>
      </c>
      <c r="D24" s="276">
        <f>Inputs!$D$64*1000000*Costs!D18</f>
        <v/>
      </c>
      <c r="E24" s="276">
        <f>Inputs!$D$64*1000000*Costs!E18</f>
        <v/>
      </c>
      <c r="F24" s="276">
        <f>Inputs!$D$64*1000000*Costs!F18</f>
        <v/>
      </c>
      <c r="G24" s="276">
        <f>Inputs!$D$64*1000000*Costs!G18</f>
        <v/>
      </c>
      <c r="H24" s="276">
        <f>Inputs!$D$64*1000000*Costs!H18</f>
        <v/>
      </c>
      <c r="I24" s="276">
        <f>Inputs!$D$64*1000000*Costs!I18</f>
        <v/>
      </c>
      <c r="J24" s="276">
        <f>Inputs!$D$64*1000000*Costs!J18</f>
        <v/>
      </c>
      <c r="K24" s="276">
        <f>Inputs!$D$64*1000000*Costs!K18</f>
        <v/>
      </c>
      <c r="L24" s="276">
        <f>Inputs!$D$64*1000000*Costs!L18</f>
        <v/>
      </c>
      <c r="M24" s="276">
        <f>Inputs!$D$64*1000000*Costs!M18</f>
        <v/>
      </c>
      <c r="N24" s="276">
        <f>Inputs!$D$64*1000000*Costs!N18</f>
        <v/>
      </c>
      <c r="O24" s="276">
        <f>Inputs!$D$64*1000000*Costs!O18</f>
        <v/>
      </c>
      <c r="P24" s="276">
        <f>Inputs!$D$64*1000000*Costs!P18</f>
        <v/>
      </c>
      <c r="Q24" s="276">
        <f>Inputs!$D$64*1000000*Costs!Q18</f>
        <v/>
      </c>
      <c r="R24" s="276">
        <f>Inputs!$D$64*1000000*Costs!R18</f>
        <v/>
      </c>
      <c r="S24" s="276">
        <f>Inputs!$D$64*1000000*Costs!S18</f>
        <v/>
      </c>
      <c r="T24" s="276">
        <f>Inputs!$D$64*1000000*Costs!T18</f>
        <v/>
      </c>
      <c r="U24" s="276">
        <f>Inputs!$D$64*1000000*Costs!U18</f>
        <v/>
      </c>
      <c r="V24" s="276">
        <f>Inputs!$D$64*1000000*Costs!V18</f>
        <v/>
      </c>
      <c r="W24" s="276">
        <f>Inputs!$D$64*1000000*Costs!W18</f>
        <v/>
      </c>
      <c r="X24" s="276">
        <f>Inputs!$D$64*1000000*Costs!X18</f>
        <v/>
      </c>
      <c r="Y24" s="276">
        <f>Inputs!$D$64*1000000*Costs!Y18</f>
        <v/>
      </c>
      <c r="Z24" s="276">
        <f>Inputs!$D$64*1000000*Costs!Z18</f>
        <v/>
      </c>
      <c r="AA24" s="276">
        <f>Inputs!$D$64*1000000*Costs!AA18</f>
        <v/>
      </c>
      <c r="AB24" s="276">
        <f>Inputs!$D$64*1000000*Costs!AB18</f>
        <v/>
      </c>
      <c r="AC24" s="276">
        <f>Inputs!$D$64*1000000*Costs!AC18</f>
        <v/>
      </c>
      <c r="AD24" s="276">
        <f>Inputs!$D$64*1000000*Costs!AD18</f>
        <v/>
      </c>
      <c r="AE24" s="276">
        <f>Inputs!$D$64*1000000*Costs!AE18</f>
        <v/>
      </c>
      <c r="AF24" s="277">
        <f>Inputs!$D$64*1000000*Costs!AF18</f>
        <v/>
      </c>
      <c r="AG24" s="170" t="n"/>
    </row>
    <row r="25" ht="18" customHeight="1" s="534">
      <c r="B25" s="274" t="inlineStr">
        <is>
          <t>Total Opex ($)</t>
        </is>
      </c>
      <c r="C25" s="275">
        <f>SUM(C19:C24)</f>
        <v/>
      </c>
      <c r="D25" s="275">
        <f>SUM(D19:D24)</f>
        <v/>
      </c>
      <c r="E25" s="275">
        <f>SUM(E19:E24)</f>
        <v/>
      </c>
      <c r="F25" s="275">
        <f>SUM(F19:F24)</f>
        <v/>
      </c>
      <c r="G25" s="275">
        <f>SUM(G19:G24)</f>
        <v/>
      </c>
      <c r="H25" s="275">
        <f>SUM(H19:H24)</f>
        <v/>
      </c>
      <c r="I25" s="275">
        <f>SUM(I19:I24)</f>
        <v/>
      </c>
      <c r="J25" s="275">
        <f>SUM(J19:J24)</f>
        <v/>
      </c>
      <c r="K25" s="275">
        <f>SUM(K19:K24)</f>
        <v/>
      </c>
      <c r="L25" s="275">
        <f>SUM(L19:L24)</f>
        <v/>
      </c>
      <c r="M25" s="275">
        <f>SUM(M19:M24)</f>
        <v/>
      </c>
      <c r="N25" s="275">
        <f>SUM(N19:N24)</f>
        <v/>
      </c>
      <c r="O25" s="275">
        <f>SUM(O19:O24)</f>
        <v/>
      </c>
      <c r="P25" s="275">
        <f>SUM(P19:P24)</f>
        <v/>
      </c>
      <c r="Q25" s="275">
        <f>SUM(Q19:Q24)</f>
        <v/>
      </c>
      <c r="R25" s="275">
        <f>SUM(R19:R24)</f>
        <v/>
      </c>
      <c r="S25" s="275">
        <f>SUM(S19:S24)</f>
        <v/>
      </c>
      <c r="T25" s="275">
        <f>SUM(T19:T24)</f>
        <v/>
      </c>
      <c r="U25" s="275">
        <f>SUM(U19:U24)</f>
        <v/>
      </c>
      <c r="V25" s="275">
        <f>SUM(V19:V24)</f>
        <v/>
      </c>
      <c r="W25" s="275">
        <f>SUM(W19:W24)</f>
        <v/>
      </c>
      <c r="X25" s="275">
        <f>SUM(X19:X24)</f>
        <v/>
      </c>
      <c r="Y25" s="275">
        <f>SUM(Y19:Y24)</f>
        <v/>
      </c>
      <c r="Z25" s="275">
        <f>SUM(Z19:Z24)</f>
        <v/>
      </c>
      <c r="AA25" s="275">
        <f>SUM(AA19:AA24)</f>
        <v/>
      </c>
      <c r="AB25" s="275">
        <f>SUM(AB19:AB24)</f>
        <v/>
      </c>
      <c r="AC25" s="275">
        <f>SUM(AC19:AC24)</f>
        <v/>
      </c>
      <c r="AD25" s="275">
        <f>SUM(AD19:AD24)</f>
        <v/>
      </c>
      <c r="AE25" s="275">
        <f>SUM(AE19:AE24)</f>
        <v/>
      </c>
      <c r="AF25" s="275">
        <f>SUM(AF19:AF24)</f>
        <v/>
      </c>
      <c r="AG25" s="170" t="n"/>
    </row>
    <row r="26" ht="16.5" customHeight="1" s="534"/>
    <row r="27" ht="16.5" customHeight="1" s="534">
      <c r="B27" s="251" t="inlineStr">
        <is>
          <t>Opex % of Revenue</t>
        </is>
      </c>
      <c r="C27" s="288">
        <f>C25/Revenue!C50</f>
        <v/>
      </c>
      <c r="D27" s="288">
        <f>D25/Revenue!D50</f>
        <v/>
      </c>
      <c r="E27" s="288">
        <f>E25/Revenue!E50</f>
        <v/>
      </c>
      <c r="F27" s="288">
        <f>F25/Revenue!F50</f>
        <v/>
      </c>
      <c r="G27" s="288">
        <f>G25/Revenue!G50</f>
        <v/>
      </c>
      <c r="H27" s="288">
        <f>H25/Revenue!H50</f>
        <v/>
      </c>
      <c r="I27" s="288">
        <f>I25/Revenue!I50</f>
        <v/>
      </c>
      <c r="J27" s="288">
        <f>J25/Revenue!J50</f>
        <v/>
      </c>
      <c r="K27" s="288">
        <f>K25/Revenue!K50</f>
        <v/>
      </c>
      <c r="L27" s="288">
        <f>L25/Revenue!L50</f>
        <v/>
      </c>
      <c r="M27" s="288">
        <f>M25/Revenue!M50</f>
        <v/>
      </c>
      <c r="N27" s="288">
        <f>N25/Revenue!N50</f>
        <v/>
      </c>
      <c r="O27" s="288">
        <f>O25/Revenue!O50</f>
        <v/>
      </c>
      <c r="P27" s="288">
        <f>P25/Revenue!P50</f>
        <v/>
      </c>
      <c r="Q27" s="288">
        <f>Q25/Revenue!Q50</f>
        <v/>
      </c>
      <c r="R27" s="288">
        <f>R25/Revenue!R50</f>
        <v/>
      </c>
      <c r="S27" s="288">
        <f>S25/Revenue!S50</f>
        <v/>
      </c>
      <c r="T27" s="288">
        <f>T25/Revenue!T50</f>
        <v/>
      </c>
      <c r="U27" s="288">
        <f>U25/Revenue!U50</f>
        <v/>
      </c>
      <c r="V27" s="288">
        <f>V25/Revenue!V50</f>
        <v/>
      </c>
      <c r="W27" s="288">
        <f>W25/Revenue!W50</f>
        <v/>
      </c>
      <c r="X27" s="288">
        <f>X25/Revenue!X50</f>
        <v/>
      </c>
      <c r="Y27" s="288">
        <f>Y25/Revenue!Y50</f>
        <v/>
      </c>
      <c r="Z27" s="288">
        <f>Z25/Revenue!Z50</f>
        <v/>
      </c>
      <c r="AA27" s="288">
        <f>AA25/Revenue!AA50</f>
        <v/>
      </c>
      <c r="AB27" s="288">
        <f>AB25/Revenue!AB50</f>
        <v/>
      </c>
      <c r="AC27" s="288">
        <f>AC25/Revenue!AC50</f>
        <v/>
      </c>
      <c r="AD27" s="288">
        <f>AD25/Revenue!AD50</f>
        <v/>
      </c>
      <c r="AE27" s="288">
        <f>AE25/Revenue!AE50</f>
        <v/>
      </c>
      <c r="AF27" s="289">
        <f>AF25/Revenue!AF50</f>
        <v/>
      </c>
      <c r="AG27" s="170" t="n"/>
    </row>
    <row r="28" ht="16.5" customHeight="1" s="534">
      <c r="B28" s="253" t="inlineStr">
        <is>
          <t>Cumulative Opex ($)</t>
        </is>
      </c>
      <c r="C28" s="276">
        <f>C25</f>
        <v/>
      </c>
      <c r="D28" s="276">
        <f>C28+D25</f>
        <v/>
      </c>
      <c r="E28" s="276">
        <f>D28+E25</f>
        <v/>
      </c>
      <c r="F28" s="276">
        <f>E28+F25</f>
        <v/>
      </c>
      <c r="G28" s="276">
        <f>F28+G25</f>
        <v/>
      </c>
      <c r="H28" s="276">
        <f>G28+H25</f>
        <v/>
      </c>
      <c r="I28" s="276">
        <f>H28+I25</f>
        <v/>
      </c>
      <c r="J28" s="276">
        <f>I28+J25</f>
        <v/>
      </c>
      <c r="K28" s="276">
        <f>J28+K25</f>
        <v/>
      </c>
      <c r="L28" s="276">
        <f>K28+L25</f>
        <v/>
      </c>
      <c r="M28" s="276">
        <f>L28+M25</f>
        <v/>
      </c>
      <c r="N28" s="276">
        <f>M28+N25</f>
        <v/>
      </c>
      <c r="O28" s="276">
        <f>N28+O25</f>
        <v/>
      </c>
      <c r="P28" s="276">
        <f>O28+P25</f>
        <v/>
      </c>
      <c r="Q28" s="276">
        <f>P28+Q25</f>
        <v/>
      </c>
      <c r="R28" s="276">
        <f>Q28+R25</f>
        <v/>
      </c>
      <c r="S28" s="276">
        <f>R28+S25</f>
        <v/>
      </c>
      <c r="T28" s="276">
        <f>S28+T25</f>
        <v/>
      </c>
      <c r="U28" s="276">
        <f>T28+U25</f>
        <v/>
      </c>
      <c r="V28" s="276">
        <f>U28+V25</f>
        <v/>
      </c>
      <c r="W28" s="276">
        <f>V28+W25</f>
        <v/>
      </c>
      <c r="X28" s="276">
        <f>W28+X25</f>
        <v/>
      </c>
      <c r="Y28" s="276">
        <f>X28+Y25</f>
        <v/>
      </c>
      <c r="Z28" s="276">
        <f>Y28+Z25</f>
        <v/>
      </c>
      <c r="AA28" s="276">
        <f>Z28+AA25</f>
        <v/>
      </c>
      <c r="AB28" s="276">
        <f>AA28+AB25</f>
        <v/>
      </c>
      <c r="AC28" s="276">
        <f>AB28+AC25</f>
        <v/>
      </c>
      <c r="AD28" s="276">
        <f>AC28+AD25</f>
        <v/>
      </c>
      <c r="AE28" s="276">
        <f>AD28+AE25</f>
        <v/>
      </c>
      <c r="AF28" s="277">
        <f>AE28+AF25</f>
        <v/>
      </c>
      <c r="AG28" s="170" t="n"/>
    </row>
  </sheetData>
  <mergeCells count="1">
    <mergeCell ref="A1:AF1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tabColor rgb="FFC00000"/>
    <outlinePr summaryBelow="1" summaryRight="1"/>
    <pageSetUpPr/>
  </sheetPr>
  <dimension ref="A1:AF51"/>
  <sheetViews>
    <sheetView showGridLines="0" zoomScaleNormal="100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E13" sqref="E13"/>
    </sheetView>
  </sheetViews>
  <sheetFormatPr baseColWidth="8" defaultColWidth="8.7265625" defaultRowHeight="14.5"/>
  <cols>
    <col width="1.54296875" customWidth="1" style="534" min="1" max="1"/>
    <col width="36.54296875" bestFit="1" customWidth="1" style="534" min="2" max="2"/>
    <col width="15.54296875" bestFit="1" customWidth="1" style="534" min="3" max="3"/>
    <col width="14.54296875" bestFit="1" customWidth="1" style="534" min="4" max="4"/>
    <col width="15.54296875" bestFit="1" customWidth="1" style="534" min="5" max="5"/>
    <col width="14.54296875" bestFit="1" customWidth="1" style="534" min="6" max="22"/>
    <col width="13.54296875" bestFit="1" customWidth="1" style="534" min="23" max="32"/>
  </cols>
  <sheetData>
    <row r="1" ht="27.75" customHeight="1" s="534" thickBot="1">
      <c r="A1" s="512" t="inlineStr">
        <is>
          <t>DEBT  —  Debt Sizing · Amortization Schedule · DSCR  ·  Goal Seek: Set Min DSCR = 1.30x by changing Initial Debt Estimate</t>
        </is>
      </c>
      <c r="B1" s="535" t="n"/>
      <c r="C1" s="535" t="n"/>
      <c r="D1" s="535" t="n"/>
      <c r="E1" s="535" t="n"/>
      <c r="F1" s="535" t="n"/>
      <c r="G1" s="535" t="n"/>
      <c r="H1" s="535" t="n"/>
      <c r="I1" s="535" t="n"/>
      <c r="J1" s="535" t="n"/>
      <c r="K1" s="535" t="n"/>
      <c r="L1" s="535" t="n"/>
      <c r="M1" s="535" t="n"/>
      <c r="N1" s="535" t="n"/>
      <c r="O1" s="535" t="n"/>
      <c r="P1" s="535" t="n"/>
      <c r="Q1" s="535" t="n"/>
      <c r="R1" s="535" t="n"/>
      <c r="S1" s="535" t="n"/>
      <c r="T1" s="535" t="n"/>
      <c r="U1" s="535" t="n"/>
      <c r="V1" s="535" t="n"/>
      <c r="W1" s="535" t="n"/>
      <c r="X1" s="535" t="n"/>
      <c r="Y1" s="535" t="n"/>
      <c r="Z1" s="535" t="n"/>
      <c r="AA1" s="535" t="n"/>
      <c r="AB1" s="535" t="n"/>
      <c r="AC1" s="535" t="n"/>
      <c r="AD1" s="535" t="n"/>
      <c r="AE1" s="535" t="n"/>
      <c r="AF1" s="535" t="n"/>
    </row>
    <row r="2" ht="16.5" customHeight="1" s="534" thickBot="1">
      <c r="A2" s="82" t="inlineStr">
        <is>
          <t>Block 1 — Debt Sizing</t>
        </is>
      </c>
      <c r="B2" s="82" t="n"/>
      <c r="C2" s="82" t="n"/>
      <c r="D2" s="143" t="n"/>
      <c r="E2" s="143" t="n"/>
      <c r="F2" s="143" t="n"/>
      <c r="G2" s="143" t="n"/>
      <c r="H2" s="143" t="n"/>
      <c r="I2" s="143" t="n"/>
      <c r="J2" s="143" t="n"/>
      <c r="K2" s="143" t="n"/>
      <c r="L2" s="143" t="n"/>
      <c r="M2" s="143" t="n"/>
      <c r="N2" s="143" t="n"/>
      <c r="O2" s="143" t="n"/>
      <c r="P2" s="143" t="n"/>
      <c r="Q2" s="143" t="n"/>
      <c r="R2" s="143" t="n"/>
      <c r="S2" s="143" t="n"/>
      <c r="T2" s="143" t="n"/>
      <c r="U2" s="143" t="n"/>
      <c r="V2" s="143" t="n"/>
      <c r="W2" s="143" t="n"/>
      <c r="X2" s="143" t="n"/>
      <c r="Y2" s="143" t="n"/>
      <c r="Z2" s="143" t="n"/>
      <c r="AA2" s="143" t="n"/>
      <c r="AB2" s="143" t="n"/>
      <c r="AC2" s="143" t="n"/>
      <c r="AD2" s="143" t="n"/>
      <c r="AE2" s="143" t="n"/>
      <c r="AF2" s="143" t="n"/>
    </row>
    <row r="3" ht="16.5" customHeight="1" s="534">
      <c r="B3" s="319" t="inlineStr">
        <is>
          <t>Total Project Cost ($)</t>
        </is>
      </c>
      <c r="C3" s="111">
        <f>Costs!$C$13</f>
        <v/>
      </c>
      <c r="D3" s="143" t="n"/>
      <c r="E3" s="564" t="n"/>
      <c r="F3" s="565" t="n"/>
      <c r="G3" s="143" t="n"/>
      <c r="H3" s="143" t="n"/>
      <c r="I3" s="143" t="n"/>
      <c r="J3" s="143" t="n"/>
      <c r="K3" s="143" t="n"/>
      <c r="L3" s="143" t="n"/>
      <c r="M3" s="143" t="n"/>
      <c r="N3" s="143" t="n"/>
      <c r="O3" s="143" t="n"/>
      <c r="P3" s="143" t="n"/>
      <c r="Q3" s="143" t="n"/>
      <c r="R3" s="143" t="n"/>
      <c r="S3" s="143" t="n"/>
      <c r="T3" s="143" t="n"/>
      <c r="U3" s="143" t="n"/>
      <c r="V3" s="143" t="n"/>
      <c r="W3" s="143" t="n"/>
      <c r="X3" s="143" t="n"/>
      <c r="Y3" s="143" t="n"/>
      <c r="Z3" s="143" t="n"/>
      <c r="AA3" s="143" t="n"/>
      <c r="AB3" s="143" t="n"/>
      <c r="AC3" s="143" t="n"/>
      <c r="AD3" s="143" t="n"/>
      <c r="AE3" s="143" t="n"/>
      <c r="AF3" s="143" t="n"/>
    </row>
    <row r="4" ht="16.5" customHeight="1" s="534">
      <c r="B4" s="253" t="inlineStr">
        <is>
          <t>ITC Cash Proceeds ($)</t>
        </is>
      </c>
      <c r="C4" s="119">
        <f>IF(Inputs!$D$79="ITC",Tax!$C$10,0)</f>
        <v/>
      </c>
      <c r="D4" s="143" t="n"/>
      <c r="E4" s="564" t="n"/>
      <c r="F4" s="565" t="n"/>
      <c r="G4" s="143" t="n"/>
      <c r="H4" s="143" t="n"/>
      <c r="I4" s="143" t="n"/>
      <c r="J4" s="143" t="n"/>
      <c r="K4" s="143" t="n"/>
      <c r="L4" s="143" t="n"/>
      <c r="M4" s="143" t="n"/>
      <c r="N4" s="143" t="n"/>
      <c r="O4" s="143" t="n"/>
      <c r="P4" s="143" t="n"/>
      <c r="Q4" s="143" t="n"/>
      <c r="R4" s="143" t="n"/>
      <c r="S4" s="143" t="n"/>
      <c r="T4" s="143" t="n"/>
      <c r="U4" s="143" t="n"/>
      <c r="V4" s="143" t="n"/>
      <c r="W4" s="143" t="n"/>
      <c r="X4" s="143" t="n"/>
      <c r="Y4" s="143" t="n"/>
      <c r="Z4" s="143" t="n"/>
      <c r="AA4" s="143" t="n"/>
      <c r="AB4" s="143" t="n"/>
      <c r="AC4" s="143" t="n"/>
      <c r="AD4" s="143" t="n"/>
      <c r="AE4" s="143" t="n"/>
      <c r="AF4" s="143" t="n"/>
    </row>
    <row r="5" ht="16.5" customHeight="1" s="534">
      <c r="B5" s="319" t="inlineStr">
        <is>
          <t>Target Debt: Total Capitalization (%)</t>
        </is>
      </c>
      <c r="C5" s="160">
        <f>Inputs!$D$72</f>
        <v/>
      </c>
      <c r="D5" s="143" t="n"/>
      <c r="E5" s="143" t="n"/>
      <c r="F5" s="143" t="n"/>
      <c r="G5" s="143" t="n"/>
      <c r="H5" s="143" t="n"/>
      <c r="I5" s="143" t="n"/>
      <c r="J5" s="143" t="n"/>
      <c r="K5" s="143" t="n"/>
      <c r="L5" s="143" t="n"/>
      <c r="M5" s="143" t="n"/>
      <c r="N5" s="143" t="n"/>
      <c r="O5" s="143" t="n"/>
      <c r="P5" s="143" t="n"/>
      <c r="Q5" s="143" t="n"/>
      <c r="R5" s="143" t="n"/>
      <c r="S5" s="143" t="n"/>
      <c r="T5" s="143" t="n"/>
      <c r="U5" s="143" t="n"/>
      <c r="V5" s="143" t="n"/>
      <c r="W5" s="143" t="n"/>
      <c r="X5" s="143" t="n"/>
      <c r="Y5" s="143" t="n"/>
      <c r="Z5" s="143" t="n"/>
      <c r="AA5" s="143" t="n"/>
      <c r="AB5" s="143" t="n"/>
      <c r="AC5" s="143" t="n"/>
      <c r="AD5" s="143" t="n"/>
      <c r="AE5" s="143" t="n"/>
      <c r="AF5" s="143" t="n"/>
    </row>
    <row r="6" ht="16.5" customHeight="1" s="534">
      <c r="B6" s="253" t="inlineStr">
        <is>
          <t>Initial Debt Estimate ($)</t>
        </is>
      </c>
      <c r="C6" s="119" t="n">
        <v>99095615.90835178</v>
      </c>
      <c r="D6" s="154" t="n"/>
      <c r="E6" s="155" t="n"/>
      <c r="F6" s="565" t="n"/>
      <c r="G6" s="143" t="n"/>
      <c r="H6" s="143" t="n"/>
      <c r="I6" s="143" t="n"/>
      <c r="J6" s="143" t="n"/>
      <c r="K6" s="143" t="n"/>
      <c r="L6" s="143" t="n"/>
      <c r="M6" s="143" t="n"/>
      <c r="N6" s="143" t="n"/>
      <c r="O6" s="143" t="n"/>
      <c r="P6" s="143" t="n"/>
      <c r="Q6" s="143" t="n"/>
      <c r="R6" s="143" t="n"/>
      <c r="S6" s="143" t="n"/>
      <c r="T6" s="143" t="n"/>
      <c r="U6" s="143" t="n"/>
      <c r="V6" s="143" t="n"/>
      <c r="W6" s="143" t="n"/>
      <c r="X6" s="143" t="n"/>
      <c r="Y6" s="143" t="n"/>
      <c r="Z6" s="143" t="n"/>
      <c r="AA6" s="143" t="n"/>
      <c r="AB6" s="143" t="n"/>
      <c r="AC6" s="143" t="n"/>
      <c r="AD6" s="143" t="n"/>
      <c r="AE6" s="143" t="n"/>
      <c r="AF6" s="143" t="n"/>
    </row>
    <row r="7" ht="16.5" customHeight="1" s="534">
      <c r="B7" s="319" t="inlineStr">
        <is>
          <t>Minimum DSCR Covenant</t>
        </is>
      </c>
      <c r="C7" s="161">
        <f>Inputs!$D$69</f>
        <v/>
      </c>
      <c r="D7" s="143" t="n"/>
      <c r="E7" s="143" t="n"/>
      <c r="F7" s="143" t="n"/>
      <c r="G7" s="143" t="n"/>
      <c r="H7" s="143" t="n"/>
      <c r="I7" s="143" t="n"/>
      <c r="J7" s="143" t="n"/>
      <c r="K7" s="143" t="n"/>
      <c r="L7" s="143" t="n"/>
      <c r="M7" s="143" t="n"/>
      <c r="N7" s="143" t="n"/>
      <c r="O7" s="143" t="n"/>
      <c r="P7" s="143" t="n"/>
      <c r="Q7" s="143" t="n"/>
      <c r="R7" s="143" t="n"/>
      <c r="S7" s="143" t="n"/>
      <c r="T7" s="143" t="n"/>
      <c r="U7" s="143" t="n"/>
      <c r="V7" s="143" t="n"/>
      <c r="W7" s="143" t="n"/>
      <c r="X7" s="143" t="n"/>
      <c r="Y7" s="143" t="n"/>
      <c r="Z7" s="143" t="n"/>
      <c r="AA7" s="143" t="n"/>
      <c r="AB7" s="143" t="n"/>
      <c r="AC7" s="143" t="n"/>
      <c r="AD7" s="143" t="n"/>
      <c r="AE7" s="143" t="n"/>
      <c r="AF7" s="143" t="n"/>
    </row>
    <row r="8" ht="16.5" customHeight="1" s="534">
      <c r="B8" s="253" t="inlineStr">
        <is>
          <t>Debt Interest Rate</t>
        </is>
      </c>
      <c r="C8" s="193">
        <f>Inputs!$D$70</f>
        <v/>
      </c>
      <c r="D8" s="143" t="n"/>
      <c r="E8" s="143" t="n"/>
      <c r="F8" s="143" t="n"/>
      <c r="G8" s="143" t="n"/>
      <c r="H8" s="143" t="n"/>
      <c r="I8" s="143" t="n"/>
      <c r="J8" s="143" t="n"/>
      <c r="K8" s="143" t="n"/>
      <c r="L8" s="143" t="n"/>
      <c r="M8" s="143" t="n"/>
      <c r="N8" s="143" t="n"/>
      <c r="O8" s="143" t="n"/>
      <c r="P8" s="143" t="n"/>
      <c r="Q8" s="143" t="n"/>
      <c r="R8" s="143" t="n"/>
      <c r="S8" s="143" t="n"/>
      <c r="T8" s="143" t="n"/>
      <c r="U8" s="143" t="n"/>
      <c r="V8" s="143" t="n"/>
      <c r="W8" s="143" t="n"/>
      <c r="X8" s="143" t="n"/>
      <c r="Y8" s="143" t="n"/>
      <c r="Z8" s="143" t="n"/>
      <c r="AA8" s="143" t="n"/>
      <c r="AB8" s="143" t="n"/>
      <c r="AC8" s="143" t="n"/>
      <c r="AD8" s="143" t="n"/>
      <c r="AE8" s="143" t="n"/>
      <c r="AF8" s="143" t="n"/>
    </row>
    <row r="9" ht="16.5" customHeight="1" s="534">
      <c r="B9" s="319" t="inlineStr">
        <is>
          <t>Debt Tenor (years)</t>
        </is>
      </c>
      <c r="C9" s="162">
        <f>Inputs!$D$71</f>
        <v/>
      </c>
      <c r="D9" s="143" t="n"/>
      <c r="E9" s="143" t="n"/>
      <c r="F9" s="143" t="n"/>
      <c r="G9" s="143" t="n"/>
      <c r="H9" s="143" t="n"/>
      <c r="I9" s="143" t="n"/>
      <c r="J9" s="143" t="n"/>
      <c r="K9" s="143" t="n"/>
      <c r="L9" s="143" t="n"/>
      <c r="M9" s="143" t="n"/>
      <c r="N9" s="143" t="n"/>
      <c r="O9" s="143" t="n"/>
      <c r="P9" s="143" t="n"/>
      <c r="Q9" s="143" t="n"/>
      <c r="R9" s="143" t="n"/>
      <c r="S9" s="143" t="n"/>
      <c r="T9" s="143" t="n"/>
      <c r="U9" s="143" t="n"/>
      <c r="V9" s="143" t="n"/>
      <c r="W9" s="143" t="n"/>
      <c r="X9" s="143" t="n"/>
      <c r="Y9" s="143" t="n"/>
      <c r="Z9" s="143" t="n"/>
      <c r="AA9" s="143" t="n"/>
      <c r="AB9" s="143" t="n"/>
      <c r="AC9" s="143" t="n"/>
      <c r="AD9" s="143" t="n"/>
      <c r="AE9" s="143" t="n"/>
      <c r="AF9" s="143" t="n"/>
    </row>
    <row r="10" ht="18" customHeight="1" s="534">
      <c r="B10" s="321" t="inlineStr">
        <is>
          <t>Annual Debt Service — Constant ($)</t>
        </is>
      </c>
      <c r="C10" s="340">
        <f>ABS(PMT(C8,C9,C6))</f>
        <v/>
      </c>
      <c r="D10" s="156" t="n"/>
      <c r="E10" s="566" t="n"/>
      <c r="F10" s="567" t="n"/>
      <c r="G10" s="156" t="n"/>
      <c r="H10" s="156" t="n"/>
      <c r="I10" s="156" t="n"/>
      <c r="J10" s="156" t="n"/>
      <c r="K10" s="156" t="n"/>
      <c r="L10" s="156" t="n"/>
      <c r="M10" s="156" t="n"/>
      <c r="N10" s="156" t="n"/>
      <c r="O10" s="156" t="n"/>
      <c r="P10" s="156" t="n"/>
      <c r="Q10" s="156" t="n"/>
      <c r="R10" s="156" t="n"/>
      <c r="S10" s="156" t="n"/>
      <c r="T10" s="156" t="n"/>
      <c r="U10" s="156" t="n"/>
      <c r="V10" s="156" t="n"/>
      <c r="W10" s="156" t="n"/>
      <c r="X10" s="156" t="n"/>
      <c r="Y10" s="156" t="n"/>
      <c r="Z10" s="156" t="n"/>
      <c r="AA10" s="156" t="n"/>
      <c r="AB10" s="156" t="n"/>
      <c r="AC10" s="156" t="n"/>
      <c r="AD10" s="156" t="n"/>
      <c r="AE10" s="156" t="n"/>
      <c r="AF10" s="156" t="n"/>
    </row>
    <row r="11" ht="18" customHeight="1" s="534">
      <c r="B11" s="322" t="inlineStr">
        <is>
          <t>Minimum DSCR Achieved</t>
        </is>
      </c>
      <c r="C11" s="323">
        <f>C49</f>
        <v/>
      </c>
      <c r="D11" s="156" t="n"/>
      <c r="E11" s="156" t="n"/>
      <c r="F11" s="156" t="n"/>
      <c r="G11" s="156" t="n"/>
      <c r="H11" s="156" t="n"/>
      <c r="I11" s="156" t="n"/>
      <c r="J11" s="156" t="n"/>
      <c r="K11" s="156" t="n"/>
      <c r="L11" s="156" t="n"/>
      <c r="M11" s="156" t="n"/>
      <c r="N11" s="156" t="n"/>
      <c r="O11" s="156" t="n"/>
      <c r="P11" s="156" t="n"/>
      <c r="Q11" s="156" t="n"/>
      <c r="R11" s="156" t="n"/>
      <c r="S11" s="156" t="n"/>
      <c r="T11" s="156" t="n"/>
      <c r="U11" s="156" t="n"/>
      <c r="V11" s="156" t="n"/>
      <c r="W11" s="156" t="n"/>
      <c r="X11" s="156" t="n"/>
      <c r="Y11" s="156" t="n"/>
      <c r="Z11" s="156" t="n"/>
      <c r="AA11" s="156" t="n"/>
      <c r="AB11" s="156" t="n"/>
      <c r="AC11" s="156" t="n"/>
      <c r="AD11" s="156" t="n"/>
      <c r="AE11" s="156" t="n"/>
      <c r="AF11" s="156" t="n"/>
    </row>
    <row r="12" ht="16.5" customHeight="1" s="534">
      <c r="B12" s="320" t="inlineStr">
        <is>
          <t>Sizing Check</t>
        </is>
      </c>
      <c r="C12" s="163">
        <f>C11-C7</f>
        <v/>
      </c>
      <c r="D12" s="143" t="n"/>
      <c r="E12" s="143" t="n"/>
      <c r="F12" s="143" t="n"/>
      <c r="G12" s="143" t="n"/>
      <c r="H12" s="143" t="n"/>
      <c r="I12" s="143" t="n"/>
      <c r="J12" s="143" t="n"/>
      <c r="K12" s="143" t="n"/>
      <c r="L12" s="143" t="n"/>
      <c r="M12" s="143" t="n"/>
      <c r="N12" s="143" t="n"/>
      <c r="O12" s="143" t="n"/>
      <c r="P12" s="143" t="n"/>
      <c r="Q12" s="143" t="n"/>
      <c r="R12" s="143" t="n"/>
      <c r="S12" s="143" t="n"/>
      <c r="T12" s="143" t="n"/>
      <c r="U12" s="143" t="n"/>
      <c r="V12" s="143" t="n"/>
      <c r="W12" s="143" t="n"/>
      <c r="X12" s="143" t="n"/>
      <c r="Y12" s="143" t="n"/>
      <c r="Z12" s="143" t="n"/>
      <c r="AA12" s="143" t="n"/>
      <c r="AB12" s="143" t="n"/>
      <c r="AC12" s="143" t="n"/>
      <c r="AD12" s="143" t="n"/>
      <c r="AE12" s="143" t="n"/>
      <c r="AF12" s="143" t="n"/>
    </row>
    <row r="13" ht="16.5" customHeight="1" s="534">
      <c r="B13" s="319" t="inlineStr">
        <is>
          <t>Maximum Debt — Leverage Cap ($)</t>
        </is>
      </c>
      <c r="C13" s="111">
        <f>Inputs!D73*Debt!C3</f>
        <v/>
      </c>
      <c r="D13" s="143" t="n"/>
      <c r="E13" s="143" t="n"/>
      <c r="F13" s="143" t="n"/>
      <c r="G13" s="143" t="n"/>
      <c r="H13" s="143" t="n"/>
      <c r="I13" s="143" t="n"/>
      <c r="J13" s="143" t="n"/>
      <c r="K13" s="143" t="n"/>
      <c r="L13" s="143" t="n"/>
      <c r="M13" s="143" t="n"/>
      <c r="N13" s="143" t="n"/>
      <c r="O13" s="143" t="n"/>
      <c r="P13" s="143" t="n"/>
      <c r="Q13" s="143" t="n"/>
      <c r="R13" s="143" t="n"/>
      <c r="S13" s="143" t="n"/>
      <c r="T13" s="143" t="n"/>
      <c r="U13" s="143" t="n"/>
      <c r="V13" s="143" t="n"/>
      <c r="W13" s="143" t="n"/>
      <c r="X13" s="143" t="n"/>
      <c r="Y13" s="143" t="n"/>
      <c r="Z13" s="143" t="n"/>
      <c r="AA13" s="143" t="n"/>
      <c r="AB13" s="143" t="n"/>
      <c r="AC13" s="143" t="n"/>
      <c r="AD13" s="143" t="n"/>
      <c r="AE13" s="143" t="n"/>
      <c r="AF13" s="143" t="n"/>
    </row>
    <row r="14" ht="18" customHeight="1" s="534">
      <c r="B14" s="253" t="inlineStr">
        <is>
          <t>Binding Constraint</t>
        </is>
      </c>
      <c r="C14" s="119">
        <f>IF(C6&lt;=C13,"DSCR Floor","Leverage Cap")</f>
        <v/>
      </c>
      <c r="D14" s="156" t="n"/>
      <c r="E14" s="156" t="n"/>
      <c r="F14" s="156" t="n"/>
      <c r="G14" s="156" t="n"/>
      <c r="H14" s="156" t="n"/>
      <c r="I14" s="156" t="n"/>
      <c r="J14" s="156" t="n"/>
      <c r="K14" s="156" t="n"/>
      <c r="L14" s="156" t="n"/>
      <c r="M14" s="156" t="n"/>
      <c r="N14" s="156" t="n"/>
      <c r="O14" s="156" t="n"/>
      <c r="P14" s="156" t="n"/>
      <c r="Q14" s="156" t="n"/>
      <c r="R14" s="156" t="n"/>
      <c r="S14" s="156" t="n"/>
      <c r="T14" s="156" t="n"/>
      <c r="U14" s="156" t="n"/>
      <c r="V14" s="156" t="n"/>
      <c r="W14" s="156" t="n"/>
      <c r="X14" s="156" t="n"/>
      <c r="Y14" s="156" t="n"/>
      <c r="Z14" s="156" t="n"/>
      <c r="AA14" s="156" t="n"/>
      <c r="AB14" s="156" t="n"/>
      <c r="AC14" s="156" t="n"/>
      <c r="AD14" s="156" t="n"/>
      <c r="AE14" s="156" t="n"/>
      <c r="AF14" s="156" t="n"/>
    </row>
    <row r="15" ht="18" customHeight="1" s="534">
      <c r="B15" s="274" t="inlineStr">
        <is>
          <t>Final Debt Amount ($)</t>
        </is>
      </c>
      <c r="C15" s="275">
        <f>MIN(C6,C13)</f>
        <v/>
      </c>
      <c r="D15" s="156" t="n"/>
      <c r="E15" s="566" t="n"/>
      <c r="F15" s="567" t="n"/>
      <c r="G15" s="156" t="n"/>
      <c r="H15" s="156" t="n"/>
      <c r="I15" s="156" t="n"/>
      <c r="J15" s="156" t="n"/>
      <c r="K15" s="156" t="n"/>
      <c r="L15" s="156" t="n"/>
      <c r="M15" s="156" t="n"/>
      <c r="N15" s="156" t="n"/>
      <c r="O15" s="156" t="n"/>
      <c r="P15" s="156" t="n"/>
      <c r="Q15" s="156" t="n"/>
      <c r="R15" s="156" t="n"/>
      <c r="S15" s="156" t="n"/>
      <c r="T15" s="156" t="n"/>
      <c r="U15" s="156" t="n"/>
      <c r="V15" s="156" t="n"/>
      <c r="W15" s="156" t="n"/>
      <c r="X15" s="156" t="n"/>
      <c r="Y15" s="156" t="n"/>
      <c r="Z15" s="156" t="n"/>
      <c r="AA15" s="156" t="n"/>
      <c r="AB15" s="156" t="n"/>
      <c r="AC15" s="156" t="n"/>
      <c r="AD15" s="156" t="n"/>
      <c r="AE15" s="156" t="n"/>
      <c r="AF15" s="156" t="n"/>
    </row>
    <row r="16" ht="18" customHeight="1" s="534">
      <c r="B16" s="274" t="inlineStr">
        <is>
          <t>Equity Contribution ($)</t>
        </is>
      </c>
      <c r="C16" s="275">
        <f>C3-C15-C4</f>
        <v/>
      </c>
      <c r="D16" s="156" t="n"/>
      <c r="E16" s="566" t="n"/>
      <c r="F16" s="567" t="n"/>
      <c r="G16" s="156" t="n"/>
      <c r="H16" s="156" t="n"/>
      <c r="I16" s="156" t="n"/>
      <c r="J16" s="156" t="n"/>
      <c r="K16" s="156" t="n"/>
      <c r="L16" s="156" t="n"/>
      <c r="M16" s="156" t="n"/>
      <c r="N16" s="156" t="n"/>
      <c r="O16" s="156" t="n"/>
      <c r="P16" s="156" t="n"/>
      <c r="Q16" s="156" t="n"/>
      <c r="R16" s="156" t="n"/>
      <c r="S16" s="156" t="n"/>
      <c r="T16" s="156" t="n"/>
      <c r="U16" s="156" t="n"/>
      <c r="V16" s="156" t="n"/>
      <c r="W16" s="156" t="n"/>
      <c r="X16" s="156" t="n"/>
      <c r="Y16" s="156" t="n"/>
      <c r="Z16" s="156" t="n"/>
      <c r="AA16" s="156" t="n"/>
      <c r="AB16" s="156" t="n"/>
      <c r="AC16" s="156" t="n"/>
      <c r="AD16" s="156" t="n"/>
      <c r="AE16" s="156" t="n"/>
      <c r="AF16" s="156" t="n"/>
    </row>
    <row r="17" ht="16.5" customHeight="1" s="534">
      <c r="B17" s="319" t="inlineStr">
        <is>
          <t>Debt: Total Capitalization (%)</t>
        </is>
      </c>
      <c r="C17" s="164">
        <f>C15/C3</f>
        <v/>
      </c>
      <c r="D17" s="143" t="n"/>
      <c r="E17" s="159" t="n"/>
      <c r="F17" s="159" t="n"/>
      <c r="G17" s="143" t="n"/>
      <c r="H17" s="143" t="n"/>
      <c r="I17" s="143" t="n"/>
      <c r="J17" s="143" t="n"/>
      <c r="K17" s="143" t="n"/>
      <c r="L17" s="143" t="n"/>
      <c r="M17" s="143" t="n"/>
      <c r="N17" s="143" t="n"/>
      <c r="O17" s="143" t="n"/>
      <c r="P17" s="143" t="n"/>
      <c r="Q17" s="143" t="n"/>
      <c r="R17" s="143" t="n"/>
      <c r="S17" s="143" t="n"/>
      <c r="T17" s="143" t="n"/>
      <c r="U17" s="143" t="n"/>
      <c r="V17" s="143" t="n"/>
      <c r="W17" s="143" t="n"/>
      <c r="X17" s="143" t="n"/>
      <c r="Y17" s="143" t="n"/>
      <c r="Z17" s="143" t="n"/>
      <c r="AA17" s="143" t="n"/>
      <c r="AB17" s="143" t="n"/>
      <c r="AC17" s="143" t="n"/>
      <c r="AD17" s="143" t="n"/>
      <c r="AE17" s="143" t="n"/>
      <c r="AF17" s="143" t="n"/>
    </row>
    <row r="18" ht="16.5" customHeight="1" s="534">
      <c r="B18" s="142" t="n"/>
      <c r="C18" s="143" t="n"/>
      <c r="D18" s="143" t="n"/>
      <c r="E18" s="143" t="n"/>
      <c r="F18" s="143" t="n"/>
      <c r="G18" s="143" t="n"/>
      <c r="H18" s="143" t="n"/>
      <c r="I18" s="143" t="n"/>
      <c r="J18" s="143" t="n"/>
      <c r="K18" s="143" t="n"/>
      <c r="L18" s="143" t="n"/>
      <c r="M18" s="143" t="n"/>
      <c r="N18" s="143" t="n"/>
      <c r="O18" s="143" t="n"/>
      <c r="P18" s="143" t="n"/>
      <c r="Q18" s="143" t="n"/>
      <c r="R18" s="143" t="n"/>
      <c r="S18" s="143" t="n"/>
      <c r="T18" s="143" t="n"/>
      <c r="U18" s="143" t="n"/>
      <c r="V18" s="143" t="n"/>
      <c r="W18" s="143" t="n"/>
      <c r="X18" s="143" t="n"/>
      <c r="Y18" s="143" t="n"/>
      <c r="Z18" s="143" t="n"/>
      <c r="AA18" s="143" t="n"/>
      <c r="AB18" s="143" t="n"/>
      <c r="AC18" s="143" t="n"/>
      <c r="AD18" s="143" t="n"/>
      <c r="AE18" s="143" t="n"/>
      <c r="AF18" s="143" t="n"/>
    </row>
    <row r="19" ht="16.5" customHeight="1" s="534">
      <c r="B19" s="142" t="n"/>
      <c r="C19" s="143" t="n"/>
      <c r="D19" s="143" t="n"/>
      <c r="E19" s="143" t="n"/>
      <c r="F19" s="143" t="n"/>
      <c r="G19" s="143" t="n"/>
      <c r="H19" s="143" t="n"/>
      <c r="I19" s="143" t="n"/>
      <c r="J19" s="143" t="n"/>
      <c r="K19" s="143" t="n"/>
      <c r="L19" s="143" t="n"/>
      <c r="M19" s="143" t="n"/>
      <c r="N19" s="143" t="n"/>
      <c r="O19" s="143" t="n"/>
      <c r="P19" s="143" t="n"/>
      <c r="Q19" s="143" t="n"/>
      <c r="R19" s="143" t="n"/>
      <c r="S19" s="143" t="n"/>
      <c r="T19" s="143" t="n"/>
      <c r="U19" s="143" t="n"/>
      <c r="V19" s="143" t="n"/>
      <c r="W19" s="143" t="n"/>
      <c r="X19" s="143" t="n"/>
      <c r="Y19" s="143" t="n"/>
      <c r="Z19" s="143" t="n"/>
      <c r="AA19" s="143" t="n"/>
      <c r="AB19" s="143" t="n"/>
      <c r="AC19" s="143" t="n"/>
      <c r="AD19" s="143" t="n"/>
      <c r="AE19" s="143" t="n"/>
      <c r="AF19" s="143" t="n"/>
    </row>
    <row r="20" ht="18" customHeight="1" s="534">
      <c r="B20" s="318" t="inlineStr">
        <is>
          <t>Year N Production</t>
        </is>
      </c>
      <c r="C20" s="318" t="n">
        <v>1</v>
      </c>
      <c r="D20" s="318" t="n">
        <v>2</v>
      </c>
      <c r="E20" s="318" t="n">
        <v>3</v>
      </c>
      <c r="F20" s="318" t="n">
        <v>4</v>
      </c>
      <c r="G20" s="318" t="n">
        <v>5</v>
      </c>
      <c r="H20" s="318" t="n">
        <v>6</v>
      </c>
      <c r="I20" s="318" t="n">
        <v>7</v>
      </c>
      <c r="J20" s="318" t="n">
        <v>8</v>
      </c>
      <c r="K20" s="318" t="n">
        <v>9</v>
      </c>
      <c r="L20" s="318" t="n">
        <v>10</v>
      </c>
      <c r="M20" s="318" t="n">
        <v>11</v>
      </c>
      <c r="N20" s="318" t="n">
        <v>12</v>
      </c>
      <c r="O20" s="318" t="n">
        <v>13</v>
      </c>
      <c r="P20" s="318" t="n">
        <v>14</v>
      </c>
      <c r="Q20" s="318" t="n">
        <v>15</v>
      </c>
      <c r="R20" s="318" t="n">
        <v>16</v>
      </c>
      <c r="S20" s="318" t="n">
        <v>17</v>
      </c>
      <c r="T20" s="318" t="n">
        <v>18</v>
      </c>
      <c r="U20" s="318" t="n">
        <v>19</v>
      </c>
      <c r="V20" s="318" t="n">
        <v>20</v>
      </c>
      <c r="W20" s="318" t="n">
        <v>21</v>
      </c>
      <c r="X20" s="318" t="n">
        <v>22</v>
      </c>
      <c r="Y20" s="318" t="n">
        <v>23</v>
      </c>
      <c r="Z20" s="318" t="n">
        <v>24</v>
      </c>
      <c r="AA20" s="318" t="n">
        <v>25</v>
      </c>
      <c r="AB20" s="318" t="n">
        <v>26</v>
      </c>
      <c r="AC20" s="318" t="n">
        <v>27</v>
      </c>
      <c r="AD20" s="318" t="n">
        <v>28</v>
      </c>
      <c r="AE20" s="318" t="n">
        <v>29</v>
      </c>
      <c r="AF20" s="318" t="n">
        <v>30</v>
      </c>
    </row>
    <row r="21" ht="16.5" customHeight="1" s="534" thickBot="1">
      <c r="A21" s="82" t="inlineStr">
        <is>
          <t>Block 2 — Amortization Schedule</t>
        </is>
      </c>
      <c r="B21" s="82" t="n"/>
      <c r="C21" s="82" t="n"/>
      <c r="D21" s="82" t="n"/>
      <c r="E21" s="82" t="n"/>
      <c r="F21" s="82" t="n"/>
      <c r="G21" s="82" t="n"/>
      <c r="H21" s="82" t="n"/>
      <c r="I21" s="82" t="n"/>
      <c r="J21" s="82" t="n"/>
      <c r="K21" s="82" t="n"/>
      <c r="L21" s="82" t="n"/>
      <c r="M21" s="82" t="n"/>
      <c r="N21" s="82" t="n"/>
      <c r="O21" s="82" t="n"/>
      <c r="P21" s="82" t="n"/>
      <c r="Q21" s="82" t="n"/>
      <c r="R21" s="82" t="n"/>
      <c r="S21" s="82" t="n"/>
      <c r="T21" s="82" t="n"/>
      <c r="U21" s="82" t="n"/>
      <c r="V21" s="82" t="n"/>
      <c r="W21" s="82" t="n"/>
      <c r="X21" s="82" t="n"/>
      <c r="Y21" s="82" t="n"/>
      <c r="Z21" s="82" t="n"/>
      <c r="AA21" s="82" t="n"/>
      <c r="AB21" s="82" t="n"/>
      <c r="AC21" s="82" t="n"/>
      <c r="AD21" s="82" t="n"/>
      <c r="AE21" s="82" t="n"/>
      <c r="AF21" s="82" t="n"/>
    </row>
    <row r="22" ht="16.5" customFormat="1" customHeight="1" s="218">
      <c r="B22" s="253" t="inlineStr">
        <is>
          <t>Beginning Balance ($)</t>
        </is>
      </c>
      <c r="C22" s="276">
        <f>C6</f>
        <v/>
      </c>
      <c r="D22" s="276">
        <f>C26</f>
        <v/>
      </c>
      <c r="E22" s="276">
        <f>D26</f>
        <v/>
      </c>
      <c r="F22" s="276">
        <f>E26</f>
        <v/>
      </c>
      <c r="G22" s="276">
        <f>F26</f>
        <v/>
      </c>
      <c r="H22" s="276">
        <f>G26</f>
        <v/>
      </c>
      <c r="I22" s="276">
        <f>H26</f>
        <v/>
      </c>
      <c r="J22" s="276">
        <f>I26</f>
        <v/>
      </c>
      <c r="K22" s="276">
        <f>J26</f>
        <v/>
      </c>
      <c r="L22" s="276">
        <f>K26</f>
        <v/>
      </c>
      <c r="M22" s="276">
        <f>L26</f>
        <v/>
      </c>
      <c r="N22" s="276">
        <f>M26</f>
        <v/>
      </c>
      <c r="O22" s="276">
        <f>N26</f>
        <v/>
      </c>
      <c r="P22" s="276">
        <f>O26</f>
        <v/>
      </c>
      <c r="Q22" s="276">
        <f>P26</f>
        <v/>
      </c>
      <c r="R22" s="276">
        <f>Q26</f>
        <v/>
      </c>
      <c r="S22" s="276">
        <f>R26</f>
        <v/>
      </c>
      <c r="T22" s="276">
        <f>S26</f>
        <v/>
      </c>
      <c r="U22" s="276">
        <f>T26</f>
        <v/>
      </c>
      <c r="V22" s="276">
        <f>U26</f>
        <v/>
      </c>
      <c r="W22" s="276">
        <f>V26</f>
        <v/>
      </c>
      <c r="X22" s="276">
        <f>W26</f>
        <v/>
      </c>
      <c r="Y22" s="276">
        <f>X26</f>
        <v/>
      </c>
      <c r="Z22" s="276">
        <f>Y26</f>
        <v/>
      </c>
      <c r="AA22" s="276">
        <f>Z26</f>
        <v/>
      </c>
      <c r="AB22" s="276">
        <f>AA26</f>
        <v/>
      </c>
      <c r="AC22" s="276">
        <f>AB26</f>
        <v/>
      </c>
      <c r="AD22" s="276">
        <f>AC26</f>
        <v/>
      </c>
      <c r="AE22" s="276">
        <f>AD26</f>
        <v/>
      </c>
      <c r="AF22" s="276">
        <f>AE26</f>
        <v/>
      </c>
    </row>
    <row r="23" ht="16.5" customFormat="1" customHeight="1" s="218">
      <c r="B23" s="251" t="inlineStr">
        <is>
          <t>Interest Payment ($)</t>
        </is>
      </c>
      <c r="C23" s="292">
        <f>C22*$C$8</f>
        <v/>
      </c>
      <c r="D23" s="292">
        <f>D22*$C$8</f>
        <v/>
      </c>
      <c r="E23" s="292">
        <f>E22*$C$8</f>
        <v/>
      </c>
      <c r="F23" s="292">
        <f>F22*$C$8</f>
        <v/>
      </c>
      <c r="G23" s="292">
        <f>G22*$C$8</f>
        <v/>
      </c>
      <c r="H23" s="292">
        <f>H22*$C$8</f>
        <v/>
      </c>
      <c r="I23" s="292">
        <f>I22*$C$8</f>
        <v/>
      </c>
      <c r="J23" s="292">
        <f>J22*$C$8</f>
        <v/>
      </c>
      <c r="K23" s="292">
        <f>K22*$C$8</f>
        <v/>
      </c>
      <c r="L23" s="292">
        <f>L22*$C$8</f>
        <v/>
      </c>
      <c r="M23" s="292">
        <f>M22*$C$8</f>
        <v/>
      </c>
      <c r="N23" s="292">
        <f>N22*$C$8</f>
        <v/>
      </c>
      <c r="O23" s="292">
        <f>O22*$C$8</f>
        <v/>
      </c>
      <c r="P23" s="292">
        <f>P22*$C$8</f>
        <v/>
      </c>
      <c r="Q23" s="292">
        <f>Q22*$C$8</f>
        <v/>
      </c>
      <c r="R23" s="292">
        <f>R22*$C$8</f>
        <v/>
      </c>
      <c r="S23" s="292">
        <f>S22*$C$8</f>
        <v/>
      </c>
      <c r="T23" s="292">
        <f>T22*$C$8</f>
        <v/>
      </c>
      <c r="U23" s="292">
        <f>U22*$C$8</f>
        <v/>
      </c>
      <c r="V23" s="292">
        <f>V22*$C$8</f>
        <v/>
      </c>
      <c r="W23" s="292">
        <f>W22*$C$8</f>
        <v/>
      </c>
      <c r="X23" s="292">
        <f>X22*$C$8</f>
        <v/>
      </c>
      <c r="Y23" s="292">
        <f>Y22*$C$8</f>
        <v/>
      </c>
      <c r="Z23" s="292">
        <f>Z22*$C$8</f>
        <v/>
      </c>
      <c r="AA23" s="292">
        <f>AA22*$C$8</f>
        <v/>
      </c>
      <c r="AB23" s="292">
        <f>AB22*$C$8</f>
        <v/>
      </c>
      <c r="AC23" s="292">
        <f>AC22*$C$8</f>
        <v/>
      </c>
      <c r="AD23" s="292">
        <f>AD22*$C$8</f>
        <v/>
      </c>
      <c r="AE23" s="292">
        <f>AE22*$C$8</f>
        <v/>
      </c>
      <c r="AF23" s="292">
        <f>AF22*$C$8</f>
        <v/>
      </c>
    </row>
    <row r="24" ht="16.5" customFormat="1" customHeight="1" s="218">
      <c r="B24" s="253" t="inlineStr">
        <is>
          <t>Total Debt Service ($)</t>
        </is>
      </c>
      <c r="C24" s="276">
        <f>IF(C20&lt;=$C$9,$C$10,0)</f>
        <v/>
      </c>
      <c r="D24" s="276">
        <f>IF(D20&lt;=$C$9,$C$10,0)</f>
        <v/>
      </c>
      <c r="E24" s="276">
        <f>IF(E20&lt;=$C$9,$C$10,0)</f>
        <v/>
      </c>
      <c r="F24" s="276">
        <f>IF(F20&lt;=$C$9,$C$10,0)</f>
        <v/>
      </c>
      <c r="G24" s="276">
        <f>IF(G20&lt;=$C$9,$C$10,0)</f>
        <v/>
      </c>
      <c r="H24" s="276">
        <f>IF(H20&lt;=$C$9,$C$10,0)</f>
        <v/>
      </c>
      <c r="I24" s="276">
        <f>IF(I20&lt;=$C$9,$C$10,0)</f>
        <v/>
      </c>
      <c r="J24" s="276">
        <f>IF(J20&lt;=$C$9,$C$10,0)</f>
        <v/>
      </c>
      <c r="K24" s="276">
        <f>IF(K20&lt;=$C$9,$C$10,0)</f>
        <v/>
      </c>
      <c r="L24" s="276">
        <f>IF(L20&lt;=$C$9,$C$10,0)</f>
        <v/>
      </c>
      <c r="M24" s="276">
        <f>IF(M20&lt;=$C$9,$C$10,0)</f>
        <v/>
      </c>
      <c r="N24" s="276">
        <f>IF(N20&lt;=$C$9,$C$10,0)</f>
        <v/>
      </c>
      <c r="O24" s="276">
        <f>IF(O20&lt;=$C$9,$C$10,0)</f>
        <v/>
      </c>
      <c r="P24" s="276">
        <f>IF(P20&lt;=$C$9,$C$10,0)</f>
        <v/>
      </c>
      <c r="Q24" s="276">
        <f>IF(Q20&lt;=$C$9,$C$10,0)</f>
        <v/>
      </c>
      <c r="R24" s="276">
        <f>IF(R20&lt;=$C$9,$C$10,0)</f>
        <v/>
      </c>
      <c r="S24" s="276">
        <f>IF(S20&lt;=$C$9,$C$10,0)</f>
        <v/>
      </c>
      <c r="T24" s="276">
        <f>IF(T20&lt;=$C$9,$C$10,0)</f>
        <v/>
      </c>
      <c r="U24" s="276">
        <f>IF(U20&lt;=$C$9,$C$10,0)</f>
        <v/>
      </c>
      <c r="V24" s="276">
        <f>IF(V20&lt;=$C$9,$C$10,0)</f>
        <v/>
      </c>
      <c r="W24" s="276">
        <f>IF(W20&lt;=$C$9,$C$10,0)</f>
        <v/>
      </c>
      <c r="X24" s="276">
        <f>IF(X20&lt;=$C$9,$C$10,0)</f>
        <v/>
      </c>
      <c r="Y24" s="276">
        <f>IF(Y20&lt;=$C$9,$C$10,0)</f>
        <v/>
      </c>
      <c r="Z24" s="276">
        <f>IF(Z20&lt;=$C$9,$C$10,0)</f>
        <v/>
      </c>
      <c r="AA24" s="276">
        <f>IF(AA20&lt;=$C$9,$C$10,0)</f>
        <v/>
      </c>
      <c r="AB24" s="276">
        <f>IF(AB20&lt;=$C$9,$C$10,0)</f>
        <v/>
      </c>
      <c r="AC24" s="276">
        <f>IF(AC20&lt;=$C$9,$C$10,0)</f>
        <v/>
      </c>
      <c r="AD24" s="276">
        <f>IF(AD20&lt;=$C$9,$C$10,0)</f>
        <v/>
      </c>
      <c r="AE24" s="276">
        <f>IF(AE20&lt;=$C$9,$C$10,0)</f>
        <v/>
      </c>
      <c r="AF24" s="276">
        <f>IF(AF20&lt;=$C$9,$C$10,0)</f>
        <v/>
      </c>
    </row>
    <row r="25" ht="16.5" customFormat="1" customHeight="1" s="218">
      <c r="B25" s="251" t="inlineStr">
        <is>
          <t>Principal Payment ($)</t>
        </is>
      </c>
      <c r="C25" s="292">
        <f>C24-C23</f>
        <v/>
      </c>
      <c r="D25" s="292">
        <f>D24-D23</f>
        <v/>
      </c>
      <c r="E25" s="292">
        <f>E24-E23</f>
        <v/>
      </c>
      <c r="F25" s="292">
        <f>F24-F23</f>
        <v/>
      </c>
      <c r="G25" s="292">
        <f>G24-G23</f>
        <v/>
      </c>
      <c r="H25" s="292">
        <f>H24-H23</f>
        <v/>
      </c>
      <c r="I25" s="292">
        <f>I24-I23</f>
        <v/>
      </c>
      <c r="J25" s="292">
        <f>J24-J23</f>
        <v/>
      </c>
      <c r="K25" s="292">
        <f>K24-K23</f>
        <v/>
      </c>
      <c r="L25" s="292">
        <f>L24-L23</f>
        <v/>
      </c>
      <c r="M25" s="292">
        <f>M24-M23</f>
        <v/>
      </c>
      <c r="N25" s="292">
        <f>N24-N23</f>
        <v/>
      </c>
      <c r="O25" s="292">
        <f>O24-O23</f>
        <v/>
      </c>
      <c r="P25" s="292">
        <f>P24-P23</f>
        <v/>
      </c>
      <c r="Q25" s="292">
        <f>Q24-Q23</f>
        <v/>
      </c>
      <c r="R25" s="292">
        <f>R24-R23</f>
        <v/>
      </c>
      <c r="S25" s="292">
        <f>S24-S23</f>
        <v/>
      </c>
      <c r="T25" s="292">
        <f>T24-T23</f>
        <v/>
      </c>
      <c r="U25" s="292">
        <f>U24-U23</f>
        <v/>
      </c>
      <c r="V25" s="292">
        <f>V24-V23</f>
        <v/>
      </c>
      <c r="W25" s="292">
        <f>W24-W23</f>
        <v/>
      </c>
      <c r="X25" s="292">
        <f>X24-X23</f>
        <v/>
      </c>
      <c r="Y25" s="292">
        <f>Y24-Y23</f>
        <v/>
      </c>
      <c r="Z25" s="292">
        <f>Z24-Z23</f>
        <v/>
      </c>
      <c r="AA25" s="292">
        <f>AA24-AA23</f>
        <v/>
      </c>
      <c r="AB25" s="292">
        <f>AB24-AB23</f>
        <v/>
      </c>
      <c r="AC25" s="292">
        <f>AC24-AC23</f>
        <v/>
      </c>
      <c r="AD25" s="292">
        <f>AD24-AD23</f>
        <v/>
      </c>
      <c r="AE25" s="292">
        <f>AE24-AE23</f>
        <v/>
      </c>
      <c r="AF25" s="292">
        <f>AF24-AF23</f>
        <v/>
      </c>
    </row>
    <row r="26" ht="16.5" customFormat="1" customHeight="1" s="218">
      <c r="B26" s="253" t="inlineStr">
        <is>
          <t>Ending Balance ($)</t>
        </is>
      </c>
      <c r="C26" s="276">
        <f>C22-C25</f>
        <v/>
      </c>
      <c r="D26" s="276">
        <f>D22-D25</f>
        <v/>
      </c>
      <c r="E26" s="276">
        <f>E22-E25</f>
        <v/>
      </c>
      <c r="F26" s="276">
        <f>F22-F25</f>
        <v/>
      </c>
      <c r="G26" s="276">
        <f>G22-G25</f>
        <v/>
      </c>
      <c r="H26" s="276">
        <f>H22-H25</f>
        <v/>
      </c>
      <c r="I26" s="276">
        <f>I22-I25</f>
        <v/>
      </c>
      <c r="J26" s="276">
        <f>J22-J25</f>
        <v/>
      </c>
      <c r="K26" s="276">
        <f>K22-K25</f>
        <v/>
      </c>
      <c r="L26" s="276">
        <f>L22-L25</f>
        <v/>
      </c>
      <c r="M26" s="276">
        <f>M22-M25</f>
        <v/>
      </c>
      <c r="N26" s="276">
        <f>N22-N25</f>
        <v/>
      </c>
      <c r="O26" s="276">
        <f>O22-O25</f>
        <v/>
      </c>
      <c r="P26" s="276">
        <f>P22-P25</f>
        <v/>
      </c>
      <c r="Q26" s="276">
        <f>Q22-Q25</f>
        <v/>
      </c>
      <c r="R26" s="276">
        <f>R22-R25</f>
        <v/>
      </c>
      <c r="S26" s="276">
        <f>S22-S25</f>
        <v/>
      </c>
      <c r="T26" s="276">
        <f>T22-T25</f>
        <v/>
      </c>
      <c r="U26" s="276">
        <f>U22-U25</f>
        <v/>
      </c>
      <c r="V26" s="276">
        <f>V22-V25</f>
        <v/>
      </c>
      <c r="W26" s="276">
        <f>W22-W25</f>
        <v/>
      </c>
      <c r="X26" s="276">
        <f>X22-X25</f>
        <v/>
      </c>
      <c r="Y26" s="276">
        <f>Y22-Y25</f>
        <v/>
      </c>
      <c r="Z26" s="276">
        <f>Z22-Z25</f>
        <v/>
      </c>
      <c r="AA26" s="276">
        <f>AA22-AA25</f>
        <v/>
      </c>
      <c r="AB26" s="276">
        <f>AB22-AB25</f>
        <v/>
      </c>
      <c r="AC26" s="276">
        <f>AC22-AC25</f>
        <v/>
      </c>
      <c r="AD26" s="276">
        <f>AD22-AD25</f>
        <v/>
      </c>
      <c r="AE26" s="276">
        <f>AE22-AE25</f>
        <v/>
      </c>
      <c r="AF26" s="276">
        <f>AF22-AF25</f>
        <v/>
      </c>
    </row>
    <row r="27" ht="16.5" customHeight="1" s="534">
      <c r="B27" s="324" t="inlineStr">
        <is>
          <t>Check: Ending Balance Year 18</t>
        </is>
      </c>
      <c r="C27" s="175" t="n"/>
      <c r="D27" s="175" t="n"/>
      <c r="E27" s="175" t="n"/>
      <c r="F27" s="175" t="n"/>
      <c r="G27" s="175" t="n"/>
      <c r="H27" s="175" t="n"/>
      <c r="I27" s="175" t="n"/>
      <c r="J27" s="175" t="n"/>
      <c r="K27" s="175" t="n"/>
      <c r="L27" s="175" t="n"/>
      <c r="M27" s="175" t="n"/>
      <c r="N27" s="175" t="n"/>
      <c r="O27" s="175" t="n"/>
      <c r="P27" s="175" t="n"/>
      <c r="Q27" s="175" t="n"/>
      <c r="R27" s="175" t="n"/>
      <c r="S27" s="175" t="n"/>
      <c r="T27" s="175">
        <f>IF(T26&lt;=0.00001,"PASS","FAIL")</f>
        <v/>
      </c>
      <c r="U27" s="175" t="n"/>
      <c r="V27" s="175" t="n"/>
      <c r="W27" s="175" t="n"/>
      <c r="X27" s="175" t="n"/>
      <c r="Y27" s="175" t="n"/>
      <c r="Z27" s="175" t="n"/>
      <c r="AA27" s="175" t="n"/>
      <c r="AB27" s="175" t="n"/>
      <c r="AC27" s="175" t="n"/>
      <c r="AD27" s="175" t="n"/>
      <c r="AE27" s="175" t="n"/>
      <c r="AF27" s="175" t="n"/>
    </row>
    <row r="28" ht="16.5" customHeight="1" s="534">
      <c r="B28" s="142" t="n"/>
      <c r="C28" s="143" t="n"/>
      <c r="D28" s="143" t="n"/>
      <c r="E28" s="143" t="n"/>
      <c r="F28" s="143" t="n"/>
      <c r="G28" s="143" t="n"/>
      <c r="H28" s="143" t="n"/>
      <c r="I28" s="143" t="n"/>
      <c r="J28" s="143" t="n"/>
      <c r="K28" s="143" t="n"/>
      <c r="L28" s="143" t="n"/>
      <c r="M28" s="143" t="n"/>
      <c r="N28" s="143" t="n"/>
      <c r="O28" s="143" t="n"/>
      <c r="P28" s="143" t="n"/>
      <c r="Q28" s="143" t="n"/>
      <c r="R28" s="143" t="n"/>
      <c r="S28" s="143" t="n"/>
      <c r="T28" s="143" t="n"/>
      <c r="U28" s="143" t="n"/>
      <c r="V28" s="143" t="n"/>
      <c r="W28" s="143" t="n"/>
      <c r="X28" s="143" t="n"/>
      <c r="Y28" s="143" t="n"/>
      <c r="Z28" s="143" t="n"/>
      <c r="AA28" s="143" t="n"/>
      <c r="AB28" s="143" t="n"/>
      <c r="AC28" s="143" t="n"/>
      <c r="AD28" s="143" t="n"/>
      <c r="AE28" s="143" t="n"/>
      <c r="AF28" s="143" t="n"/>
    </row>
    <row r="29" ht="16.5" customHeight="1" s="534">
      <c r="B29" s="142" t="n"/>
      <c r="C29" s="143" t="n"/>
      <c r="D29" s="143" t="n"/>
      <c r="E29" s="143" t="n"/>
      <c r="F29" s="143" t="n"/>
      <c r="G29" s="143" t="n"/>
      <c r="H29" s="143" t="n"/>
      <c r="I29" s="143" t="n"/>
      <c r="J29" s="143" t="n"/>
      <c r="K29" s="143" t="n"/>
      <c r="L29" s="143" t="n"/>
      <c r="M29" s="143" t="n"/>
      <c r="N29" s="143" t="n"/>
      <c r="O29" s="143" t="n"/>
      <c r="P29" s="143" t="n"/>
      <c r="Q29" s="143" t="n"/>
      <c r="R29" s="143" t="n"/>
      <c r="S29" s="143" t="n"/>
      <c r="T29" s="143" t="n"/>
      <c r="U29" s="143" t="n"/>
      <c r="V29" s="143" t="n"/>
      <c r="W29" s="143" t="n"/>
      <c r="X29" s="143" t="n"/>
      <c r="Y29" s="143" t="n"/>
      <c r="Z29" s="143" t="n"/>
      <c r="AA29" s="143" t="n"/>
      <c r="AB29" s="143" t="n"/>
      <c r="AC29" s="143" t="n"/>
      <c r="AD29" s="143" t="n"/>
      <c r="AE29" s="143" t="n"/>
      <c r="AF29" s="143" t="n"/>
    </row>
    <row r="30" ht="16.5" customHeight="1" s="534" thickBot="1">
      <c r="A30" s="82" t="inlineStr">
        <is>
          <t>Block 3 — DSCR Calculation</t>
        </is>
      </c>
      <c r="B30" s="82" t="n"/>
      <c r="C30" s="82" t="n"/>
      <c r="D30" s="82" t="n"/>
      <c r="E30" s="82" t="n"/>
      <c r="F30" s="82" t="n"/>
      <c r="G30" s="82" t="n"/>
      <c r="H30" s="82" t="n"/>
      <c r="I30" s="82" t="n"/>
      <c r="J30" s="82" t="n"/>
      <c r="K30" s="82" t="n"/>
      <c r="L30" s="82" t="n"/>
      <c r="M30" s="82" t="n"/>
      <c r="N30" s="82" t="n"/>
      <c r="O30" s="82" t="n"/>
      <c r="P30" s="82" t="n"/>
      <c r="Q30" s="82" t="n"/>
      <c r="R30" s="82" t="n"/>
      <c r="S30" s="82" t="n"/>
      <c r="T30" s="82" t="n"/>
      <c r="U30" s="82" t="n"/>
      <c r="V30" s="82" t="n"/>
      <c r="W30" s="82" t="n"/>
      <c r="X30" s="82" t="n"/>
      <c r="Y30" s="82" t="n"/>
      <c r="Z30" s="82" t="n"/>
      <c r="AA30" s="82" t="n"/>
      <c r="AB30" s="82" t="n"/>
      <c r="AC30" s="82" t="n"/>
      <c r="AD30" s="82" t="n"/>
      <c r="AE30" s="82" t="n"/>
      <c r="AF30" s="82" t="n"/>
    </row>
    <row r="31" ht="16.5" customHeight="1" s="534">
      <c r="A31" s="282" t="inlineStr">
        <is>
          <t>Interim CFADS Calc</t>
        </is>
      </c>
      <c r="B31" s="282" t="n"/>
      <c r="C31" s="110" t="n"/>
      <c r="D31" s="110" t="n"/>
      <c r="E31" s="110" t="n"/>
      <c r="F31" s="110" t="n"/>
      <c r="G31" s="110" t="n"/>
      <c r="H31" s="110" t="n"/>
      <c r="I31" s="110" t="n"/>
      <c r="J31" s="110" t="n"/>
      <c r="K31" s="110" t="n"/>
      <c r="L31" s="110" t="n"/>
      <c r="M31" s="110" t="n"/>
      <c r="N31" s="110" t="n"/>
      <c r="O31" s="110" t="n"/>
      <c r="P31" s="110" t="n"/>
      <c r="Q31" s="110" t="n"/>
      <c r="R31" s="110" t="n"/>
      <c r="S31" s="110" t="n"/>
      <c r="T31" s="110" t="n"/>
      <c r="U31" s="110" t="n"/>
      <c r="V31" s="110" t="n"/>
      <c r="W31" s="110" t="n"/>
      <c r="X31" s="110" t="n"/>
      <c r="Y31" s="110" t="n"/>
      <c r="Z31" s="110" t="n"/>
      <c r="AA31" s="110" t="n"/>
      <c r="AB31" s="110" t="n"/>
      <c r="AC31" s="110" t="n"/>
      <c r="AD31" s="110" t="n"/>
      <c r="AE31" s="110" t="n"/>
      <c r="AF31" s="110" t="n"/>
    </row>
    <row r="32" ht="16.5" customHeight="1" s="534">
      <c r="B32" s="253" t="inlineStr">
        <is>
          <t>Total Revenue ($)</t>
        </is>
      </c>
      <c r="C32" s="119">
        <f>Revenue!C50</f>
        <v/>
      </c>
      <c r="D32" s="119">
        <f>Revenue!D50</f>
        <v/>
      </c>
      <c r="E32" s="119">
        <f>Revenue!E50</f>
        <v/>
      </c>
      <c r="F32" s="119">
        <f>Revenue!F50</f>
        <v/>
      </c>
      <c r="G32" s="119">
        <f>Revenue!G50</f>
        <v/>
      </c>
      <c r="H32" s="119">
        <f>Revenue!H50</f>
        <v/>
      </c>
      <c r="I32" s="119">
        <f>Revenue!I50</f>
        <v/>
      </c>
      <c r="J32" s="119">
        <f>Revenue!J50</f>
        <v/>
      </c>
      <c r="K32" s="119">
        <f>Revenue!K50</f>
        <v/>
      </c>
      <c r="L32" s="119">
        <f>Revenue!L50</f>
        <v/>
      </c>
      <c r="M32" s="119">
        <f>Revenue!M50</f>
        <v/>
      </c>
      <c r="N32" s="119">
        <f>Revenue!N50</f>
        <v/>
      </c>
      <c r="O32" s="119">
        <f>Revenue!O50</f>
        <v/>
      </c>
      <c r="P32" s="119">
        <f>Revenue!P50</f>
        <v/>
      </c>
      <c r="Q32" s="119">
        <f>Revenue!Q50</f>
        <v/>
      </c>
      <c r="R32" s="119">
        <f>Revenue!R50</f>
        <v/>
      </c>
      <c r="S32" s="119">
        <f>Revenue!S50</f>
        <v/>
      </c>
      <c r="T32" s="119">
        <f>Revenue!T50</f>
        <v/>
      </c>
      <c r="U32" s="119">
        <f>Revenue!U50</f>
        <v/>
      </c>
      <c r="V32" s="119">
        <f>Revenue!V50</f>
        <v/>
      </c>
      <c r="W32" s="119">
        <f>Revenue!W50</f>
        <v/>
      </c>
      <c r="X32" s="119">
        <f>Revenue!X50</f>
        <v/>
      </c>
      <c r="Y32" s="119">
        <f>Revenue!Y50</f>
        <v/>
      </c>
      <c r="Z32" s="119">
        <f>Revenue!Z50</f>
        <v/>
      </c>
      <c r="AA32" s="119">
        <f>Revenue!AA50</f>
        <v/>
      </c>
      <c r="AB32" s="119">
        <f>Revenue!AB50</f>
        <v/>
      </c>
      <c r="AC32" s="119">
        <f>Revenue!AC50</f>
        <v/>
      </c>
      <c r="AD32" s="119">
        <f>Revenue!AD50</f>
        <v/>
      </c>
      <c r="AE32" s="119">
        <f>Revenue!AE50</f>
        <v/>
      </c>
      <c r="AF32" s="119">
        <f>Revenue!AF50</f>
        <v/>
      </c>
    </row>
    <row r="33" ht="16.5" customHeight="1" s="534">
      <c r="B33" s="251" t="inlineStr">
        <is>
          <t>Total Opex ($)</t>
        </is>
      </c>
      <c r="C33" s="116">
        <f>Costs!C25</f>
        <v/>
      </c>
      <c r="D33" s="116">
        <f>Costs!D25</f>
        <v/>
      </c>
      <c r="E33" s="116">
        <f>Costs!E25</f>
        <v/>
      </c>
      <c r="F33" s="116">
        <f>Costs!F25</f>
        <v/>
      </c>
      <c r="G33" s="116">
        <f>Costs!G25</f>
        <v/>
      </c>
      <c r="H33" s="116">
        <f>Costs!H25</f>
        <v/>
      </c>
      <c r="I33" s="116">
        <f>Costs!I25</f>
        <v/>
      </c>
      <c r="J33" s="116">
        <f>Costs!J25</f>
        <v/>
      </c>
      <c r="K33" s="116">
        <f>Costs!K25</f>
        <v/>
      </c>
      <c r="L33" s="116">
        <f>Costs!L25</f>
        <v/>
      </c>
      <c r="M33" s="116">
        <f>Costs!M25</f>
        <v/>
      </c>
      <c r="N33" s="116">
        <f>Costs!N25</f>
        <v/>
      </c>
      <c r="O33" s="116">
        <f>Costs!O25</f>
        <v/>
      </c>
      <c r="P33" s="116">
        <f>Costs!P25</f>
        <v/>
      </c>
      <c r="Q33" s="116">
        <f>Costs!Q25</f>
        <v/>
      </c>
      <c r="R33" s="116">
        <f>Costs!R25</f>
        <v/>
      </c>
      <c r="S33" s="116">
        <f>Costs!S25</f>
        <v/>
      </c>
      <c r="T33" s="116">
        <f>Costs!T25</f>
        <v/>
      </c>
      <c r="U33" s="116">
        <f>Costs!U25</f>
        <v/>
      </c>
      <c r="V33" s="116">
        <f>Costs!V25</f>
        <v/>
      </c>
      <c r="W33" s="116">
        <f>Costs!W25</f>
        <v/>
      </c>
      <c r="X33" s="116">
        <f>Costs!X25</f>
        <v/>
      </c>
      <c r="Y33" s="116">
        <f>Costs!Y25</f>
        <v/>
      </c>
      <c r="Z33" s="116">
        <f>Costs!Z25</f>
        <v/>
      </c>
      <c r="AA33" s="116">
        <f>Costs!AA25</f>
        <v/>
      </c>
      <c r="AB33" s="116">
        <f>Costs!AB25</f>
        <v/>
      </c>
      <c r="AC33" s="116">
        <f>Costs!AC25</f>
        <v/>
      </c>
      <c r="AD33" s="116">
        <f>Costs!AD25</f>
        <v/>
      </c>
      <c r="AE33" s="116">
        <f>Costs!AE25</f>
        <v/>
      </c>
      <c r="AF33" s="116">
        <f>Costs!AF25</f>
        <v/>
      </c>
    </row>
    <row r="34" ht="16.5" customHeight="1" s="534">
      <c r="B34" s="253" t="inlineStr">
        <is>
          <t>EBITDA ($)</t>
        </is>
      </c>
      <c r="C34" s="119">
        <f>C32-C33</f>
        <v/>
      </c>
      <c r="D34" s="119">
        <f>D32-D33</f>
        <v/>
      </c>
      <c r="E34" s="119">
        <f>E32-E33</f>
        <v/>
      </c>
      <c r="F34" s="119">
        <f>F32-F33</f>
        <v/>
      </c>
      <c r="G34" s="119">
        <f>G32-G33</f>
        <v/>
      </c>
      <c r="H34" s="119">
        <f>H32-H33</f>
        <v/>
      </c>
      <c r="I34" s="119">
        <f>I32-I33</f>
        <v/>
      </c>
      <c r="J34" s="119">
        <f>J32-J33</f>
        <v/>
      </c>
      <c r="K34" s="119">
        <f>K32-K33</f>
        <v/>
      </c>
      <c r="L34" s="119">
        <f>L32-L33</f>
        <v/>
      </c>
      <c r="M34" s="119">
        <f>M32-M33</f>
        <v/>
      </c>
      <c r="N34" s="119">
        <f>N32-N33</f>
        <v/>
      </c>
      <c r="O34" s="119">
        <f>O32-O33</f>
        <v/>
      </c>
      <c r="P34" s="119">
        <f>P32-P33</f>
        <v/>
      </c>
      <c r="Q34" s="119">
        <f>Q32-Q33</f>
        <v/>
      </c>
      <c r="R34" s="119">
        <f>R32-R33</f>
        <v/>
      </c>
      <c r="S34" s="119">
        <f>S32-S33</f>
        <v/>
      </c>
      <c r="T34" s="119">
        <f>T32-T33</f>
        <v/>
      </c>
      <c r="U34" s="119">
        <f>U32-U33</f>
        <v/>
      </c>
      <c r="V34" s="119">
        <f>V32-V33</f>
        <v/>
      </c>
      <c r="W34" s="119">
        <f>W32-W33</f>
        <v/>
      </c>
      <c r="X34" s="119">
        <f>X32-X33</f>
        <v/>
      </c>
      <c r="Y34" s="119">
        <f>Y32-Y33</f>
        <v/>
      </c>
      <c r="Z34" s="119">
        <f>Z32-Z33</f>
        <v/>
      </c>
      <c r="AA34" s="119">
        <f>AA32-AA33</f>
        <v/>
      </c>
      <c r="AB34" s="119">
        <f>AB32-AB33</f>
        <v/>
      </c>
      <c r="AC34" s="119">
        <f>AC32-AC33</f>
        <v/>
      </c>
      <c r="AD34" s="119">
        <f>AD32-AD33</f>
        <v/>
      </c>
      <c r="AE34" s="119">
        <f>AE32-AE33</f>
        <v/>
      </c>
      <c r="AF34" s="119">
        <f>AF32-AF33</f>
        <v/>
      </c>
    </row>
    <row r="35" ht="16.5" customHeight="1" s="534">
      <c r="B35" s="251" t="inlineStr">
        <is>
          <t>Interest Expense ($)</t>
        </is>
      </c>
      <c r="C35" s="116">
        <f>C23</f>
        <v/>
      </c>
      <c r="D35" s="116">
        <f>D23</f>
        <v/>
      </c>
      <c r="E35" s="116">
        <f>E23</f>
        <v/>
      </c>
      <c r="F35" s="116">
        <f>F23</f>
        <v/>
      </c>
      <c r="G35" s="116">
        <f>G23</f>
        <v/>
      </c>
      <c r="H35" s="116">
        <f>H23</f>
        <v/>
      </c>
      <c r="I35" s="116">
        <f>I23</f>
        <v/>
      </c>
      <c r="J35" s="116">
        <f>J23</f>
        <v/>
      </c>
      <c r="K35" s="116">
        <f>K23</f>
        <v/>
      </c>
      <c r="L35" s="116">
        <f>L23</f>
        <v/>
      </c>
      <c r="M35" s="116">
        <f>M23</f>
        <v/>
      </c>
      <c r="N35" s="116">
        <f>N23</f>
        <v/>
      </c>
      <c r="O35" s="116">
        <f>O23</f>
        <v/>
      </c>
      <c r="P35" s="116">
        <f>P23</f>
        <v/>
      </c>
      <c r="Q35" s="116">
        <f>Q23</f>
        <v/>
      </c>
      <c r="R35" s="116">
        <f>R23</f>
        <v/>
      </c>
      <c r="S35" s="116">
        <f>S23</f>
        <v/>
      </c>
      <c r="T35" s="116">
        <f>T23</f>
        <v/>
      </c>
      <c r="U35" s="116">
        <f>U23</f>
        <v/>
      </c>
      <c r="V35" s="116">
        <f>V23</f>
        <v/>
      </c>
      <c r="W35" s="116">
        <f>W23</f>
        <v/>
      </c>
      <c r="X35" s="116">
        <f>X23</f>
        <v/>
      </c>
      <c r="Y35" s="116">
        <f>Y23</f>
        <v/>
      </c>
      <c r="Z35" s="116">
        <f>Z23</f>
        <v/>
      </c>
      <c r="AA35" s="116">
        <f>AA23</f>
        <v/>
      </c>
      <c r="AB35" s="116">
        <f>AB23</f>
        <v/>
      </c>
      <c r="AC35" s="116">
        <f>AC23</f>
        <v/>
      </c>
      <c r="AD35" s="116">
        <f>AD23</f>
        <v/>
      </c>
      <c r="AE35" s="116">
        <f>AE23</f>
        <v/>
      </c>
      <c r="AF35" s="116">
        <f>AF23</f>
        <v/>
      </c>
    </row>
    <row r="36" ht="16.5" customHeight="1" s="534">
      <c r="B36" s="253" t="inlineStr">
        <is>
          <t>Applied Depreciation ($)</t>
        </is>
      </c>
      <c r="C36" s="119">
        <f>Tax!C62</f>
        <v/>
      </c>
      <c r="D36" s="119">
        <f>Tax!D62</f>
        <v/>
      </c>
      <c r="E36" s="119">
        <f>Tax!E62</f>
        <v/>
      </c>
      <c r="F36" s="119">
        <f>Tax!F62</f>
        <v/>
      </c>
      <c r="G36" s="119">
        <f>Tax!G62</f>
        <v/>
      </c>
      <c r="H36" s="119">
        <f>Tax!H62</f>
        <v/>
      </c>
      <c r="I36" s="119">
        <f>Tax!I62</f>
        <v/>
      </c>
      <c r="J36" s="119">
        <f>Tax!J62</f>
        <v/>
      </c>
      <c r="K36" s="119">
        <f>Tax!K62</f>
        <v/>
      </c>
      <c r="L36" s="119">
        <f>Tax!L62</f>
        <v/>
      </c>
      <c r="M36" s="119">
        <f>Tax!M62</f>
        <v/>
      </c>
      <c r="N36" s="119">
        <f>Tax!N62</f>
        <v/>
      </c>
      <c r="O36" s="119">
        <f>Tax!O62</f>
        <v/>
      </c>
      <c r="P36" s="119">
        <f>Tax!P62</f>
        <v/>
      </c>
      <c r="Q36" s="119">
        <f>Tax!Q62</f>
        <v/>
      </c>
      <c r="R36" s="119">
        <f>Tax!R62</f>
        <v/>
      </c>
      <c r="S36" s="119">
        <f>Tax!S62</f>
        <v/>
      </c>
      <c r="T36" s="119">
        <f>Tax!T62</f>
        <v/>
      </c>
      <c r="U36" s="119">
        <f>Tax!U62</f>
        <v/>
      </c>
      <c r="V36" s="119">
        <f>Tax!V62</f>
        <v/>
      </c>
      <c r="W36" s="119">
        <f>Tax!W62</f>
        <v/>
      </c>
      <c r="X36" s="119">
        <f>Tax!X62</f>
        <v/>
      </c>
      <c r="Y36" s="119">
        <f>Tax!Y62</f>
        <v/>
      </c>
      <c r="Z36" s="119">
        <f>Tax!Z62</f>
        <v/>
      </c>
      <c r="AA36" s="119">
        <f>Tax!AA62</f>
        <v/>
      </c>
      <c r="AB36" s="119">
        <f>Tax!AB62</f>
        <v/>
      </c>
      <c r="AC36" s="119">
        <f>Tax!AC62</f>
        <v/>
      </c>
      <c r="AD36" s="119">
        <f>Tax!AD62</f>
        <v/>
      </c>
      <c r="AE36" s="119">
        <f>Tax!AE62</f>
        <v/>
      </c>
      <c r="AF36" s="119">
        <f>Tax!AF62</f>
        <v/>
      </c>
    </row>
    <row r="37" ht="16.5" customHeight="1" s="534">
      <c r="B37" s="251" t="inlineStr">
        <is>
          <t>Taxable Income ($)</t>
        </is>
      </c>
      <c r="C37" s="116">
        <f>C34-C35-C36</f>
        <v/>
      </c>
      <c r="D37" s="116">
        <f>D34-D35-D36</f>
        <v/>
      </c>
      <c r="E37" s="116">
        <f>E34-E35-E36</f>
        <v/>
      </c>
      <c r="F37" s="116">
        <f>F34-F35-F36</f>
        <v/>
      </c>
      <c r="G37" s="116">
        <f>G34-G35-G36</f>
        <v/>
      </c>
      <c r="H37" s="116">
        <f>H34-H35-H36</f>
        <v/>
      </c>
      <c r="I37" s="116">
        <f>I34-I35-I36</f>
        <v/>
      </c>
      <c r="J37" s="116">
        <f>J34-J35-J36</f>
        <v/>
      </c>
      <c r="K37" s="116">
        <f>K34-K35-K36</f>
        <v/>
      </c>
      <c r="L37" s="116">
        <f>L34-L35-L36</f>
        <v/>
      </c>
      <c r="M37" s="116">
        <f>M34-M35-M36</f>
        <v/>
      </c>
      <c r="N37" s="116">
        <f>N34-N35-N36</f>
        <v/>
      </c>
      <c r="O37" s="116">
        <f>O34-O35-O36</f>
        <v/>
      </c>
      <c r="P37" s="116">
        <f>P34-P35-P36</f>
        <v/>
      </c>
      <c r="Q37" s="116">
        <f>Q34-Q35-Q36</f>
        <v/>
      </c>
      <c r="R37" s="116">
        <f>R34-R35-R36</f>
        <v/>
      </c>
      <c r="S37" s="116">
        <f>S34-S35-S36</f>
        <v/>
      </c>
      <c r="T37" s="116">
        <f>T34-T35-T36</f>
        <v/>
      </c>
      <c r="U37" s="116">
        <f>U34-U35-U36</f>
        <v/>
      </c>
      <c r="V37" s="116">
        <f>V34-V35-V36</f>
        <v/>
      </c>
      <c r="W37" s="116">
        <f>W34-W35-W36</f>
        <v/>
      </c>
      <c r="X37" s="116">
        <f>X34-X35-X36</f>
        <v/>
      </c>
      <c r="Y37" s="116">
        <f>Y34-Y35-Y36</f>
        <v/>
      </c>
      <c r="Z37" s="116">
        <f>Z34-Z35-Z36</f>
        <v/>
      </c>
      <c r="AA37" s="116">
        <f>AA34-AA35-AA36</f>
        <v/>
      </c>
      <c r="AB37" s="116">
        <f>AB34-AB35-AB36</f>
        <v/>
      </c>
      <c r="AC37" s="116">
        <f>AC34-AC35-AC36</f>
        <v/>
      </c>
      <c r="AD37" s="116">
        <f>AD34-AD35-AD36</f>
        <v/>
      </c>
      <c r="AE37" s="116">
        <f>AE34-AE35-AE36</f>
        <v/>
      </c>
      <c r="AF37" s="116">
        <f>AF34-AF35-AF36</f>
        <v/>
      </c>
    </row>
    <row r="38" ht="16.5" customHeight="1" s="534">
      <c r="B38" s="253" t="inlineStr">
        <is>
          <t>Cash Tax ($)</t>
        </is>
      </c>
      <c r="C38" s="119">
        <f>Tax!C71</f>
        <v/>
      </c>
      <c r="D38" s="119">
        <f>Tax!D71</f>
        <v/>
      </c>
      <c r="E38" s="119">
        <f>Tax!E71</f>
        <v/>
      </c>
      <c r="F38" s="119">
        <f>Tax!F71</f>
        <v/>
      </c>
      <c r="G38" s="119">
        <f>Tax!G71</f>
        <v/>
      </c>
      <c r="H38" s="119">
        <f>Tax!H71</f>
        <v/>
      </c>
      <c r="I38" s="119">
        <f>Tax!I71</f>
        <v/>
      </c>
      <c r="J38" s="119">
        <f>Tax!J71</f>
        <v/>
      </c>
      <c r="K38" s="119">
        <f>Tax!K71</f>
        <v/>
      </c>
      <c r="L38" s="119">
        <f>Tax!L71</f>
        <v/>
      </c>
      <c r="M38" s="119">
        <f>Tax!M71</f>
        <v/>
      </c>
      <c r="N38" s="119">
        <f>Tax!N71</f>
        <v/>
      </c>
      <c r="O38" s="119">
        <f>Tax!O71</f>
        <v/>
      </c>
      <c r="P38" s="119">
        <f>Tax!P71</f>
        <v/>
      </c>
      <c r="Q38" s="119">
        <f>Tax!Q71</f>
        <v/>
      </c>
      <c r="R38" s="119">
        <f>Tax!R71</f>
        <v/>
      </c>
      <c r="S38" s="119">
        <f>Tax!S71</f>
        <v/>
      </c>
      <c r="T38" s="119">
        <f>Tax!T71</f>
        <v/>
      </c>
      <c r="U38" s="119">
        <f>Tax!U71</f>
        <v/>
      </c>
      <c r="V38" s="119">
        <f>Tax!V71</f>
        <v/>
      </c>
      <c r="W38" s="119">
        <f>Tax!W71</f>
        <v/>
      </c>
      <c r="X38" s="119">
        <f>Tax!X71</f>
        <v/>
      </c>
      <c r="Y38" s="119">
        <f>Tax!Y71</f>
        <v/>
      </c>
      <c r="Z38" s="119">
        <f>Tax!Z71</f>
        <v/>
      </c>
      <c r="AA38" s="119">
        <f>Tax!AA71</f>
        <v/>
      </c>
      <c r="AB38" s="119">
        <f>Tax!AB71</f>
        <v/>
      </c>
      <c r="AC38" s="119">
        <f>Tax!AC71</f>
        <v/>
      </c>
      <c r="AD38" s="119">
        <f>Tax!AD71</f>
        <v/>
      </c>
      <c r="AE38" s="119">
        <f>Tax!AE71</f>
        <v/>
      </c>
      <c r="AF38" s="119">
        <f>Tax!AF71</f>
        <v/>
      </c>
    </row>
    <row r="39" ht="16.5" customHeight="1" s="534">
      <c r="B39" s="251" t="inlineStr">
        <is>
          <t>Depreciation Add-Back ($)</t>
        </is>
      </c>
      <c r="C39" s="116">
        <f>Tax!C62</f>
        <v/>
      </c>
      <c r="D39" s="116">
        <f>Tax!D62</f>
        <v/>
      </c>
      <c r="E39" s="116">
        <f>Tax!E62</f>
        <v/>
      </c>
      <c r="F39" s="116">
        <f>Tax!F62</f>
        <v/>
      </c>
      <c r="G39" s="116">
        <f>Tax!G62</f>
        <v/>
      </c>
      <c r="H39" s="116">
        <f>Tax!H62</f>
        <v/>
      </c>
      <c r="I39" s="116">
        <f>Tax!I62</f>
        <v/>
      </c>
      <c r="J39" s="116">
        <f>Tax!J62</f>
        <v/>
      </c>
      <c r="K39" s="116">
        <f>Tax!K62</f>
        <v/>
      </c>
      <c r="L39" s="116">
        <f>Tax!L62</f>
        <v/>
      </c>
      <c r="M39" s="116">
        <f>Tax!M62</f>
        <v/>
      </c>
      <c r="N39" s="116">
        <f>Tax!N62</f>
        <v/>
      </c>
      <c r="O39" s="116">
        <f>Tax!O62</f>
        <v/>
      </c>
      <c r="P39" s="116">
        <f>Tax!P62</f>
        <v/>
      </c>
      <c r="Q39" s="116">
        <f>Tax!Q62</f>
        <v/>
      </c>
      <c r="R39" s="116">
        <f>Tax!R62</f>
        <v/>
      </c>
      <c r="S39" s="116">
        <f>Tax!S62</f>
        <v/>
      </c>
      <c r="T39" s="116">
        <f>Tax!T62</f>
        <v/>
      </c>
      <c r="U39" s="116">
        <f>Tax!U62</f>
        <v/>
      </c>
      <c r="V39" s="116">
        <f>Tax!V62</f>
        <v/>
      </c>
      <c r="W39" s="116">
        <f>Tax!W62</f>
        <v/>
      </c>
      <c r="X39" s="116">
        <f>Tax!X62</f>
        <v/>
      </c>
      <c r="Y39" s="116">
        <f>Tax!Y62</f>
        <v/>
      </c>
      <c r="Z39" s="116">
        <f>Tax!Z62</f>
        <v/>
      </c>
      <c r="AA39" s="116">
        <f>Tax!AA62</f>
        <v/>
      </c>
      <c r="AB39" s="116">
        <f>Tax!AB62</f>
        <v/>
      </c>
      <c r="AC39" s="116">
        <f>Tax!AC62</f>
        <v/>
      </c>
      <c r="AD39" s="116">
        <f>Tax!AD62</f>
        <v/>
      </c>
      <c r="AE39" s="116">
        <f>Tax!AE62</f>
        <v/>
      </c>
      <c r="AF39" s="116">
        <f>Tax!AF62</f>
        <v/>
      </c>
    </row>
    <row r="40" ht="18" customHeight="1" s="534">
      <c r="B40" s="325" t="inlineStr">
        <is>
          <t>CFADS ($)</t>
        </is>
      </c>
      <c r="C40" s="176">
        <f>C34-C38</f>
        <v/>
      </c>
      <c r="D40" s="176">
        <f>D34-D38</f>
        <v/>
      </c>
      <c r="E40" s="176">
        <f>E34-E38</f>
        <v/>
      </c>
      <c r="F40" s="176">
        <f>F34-F38</f>
        <v/>
      </c>
      <c r="G40" s="176">
        <f>G34-G38</f>
        <v/>
      </c>
      <c r="H40" s="176">
        <f>H34-H38</f>
        <v/>
      </c>
      <c r="I40" s="176">
        <f>I34-I38</f>
        <v/>
      </c>
      <c r="J40" s="176">
        <f>J34-J38</f>
        <v/>
      </c>
      <c r="K40" s="176">
        <f>K34-K38</f>
        <v/>
      </c>
      <c r="L40" s="176">
        <f>L34-L38</f>
        <v/>
      </c>
      <c r="M40" s="176">
        <f>M34-M38</f>
        <v/>
      </c>
      <c r="N40" s="176">
        <f>N34-N38</f>
        <v/>
      </c>
      <c r="O40" s="176">
        <f>O34-O38</f>
        <v/>
      </c>
      <c r="P40" s="176">
        <f>P34-P38</f>
        <v/>
      </c>
      <c r="Q40" s="176">
        <f>Q34-Q38</f>
        <v/>
      </c>
      <c r="R40" s="176">
        <f>R34-R38</f>
        <v/>
      </c>
      <c r="S40" s="176">
        <f>S34-S38</f>
        <v/>
      </c>
      <c r="T40" s="176">
        <f>T34-T38</f>
        <v/>
      </c>
      <c r="U40" s="176">
        <f>U34-U38</f>
        <v/>
      </c>
      <c r="V40" s="176">
        <f>V34-V38</f>
        <v/>
      </c>
      <c r="W40" s="176">
        <f>W34-W38</f>
        <v/>
      </c>
      <c r="X40" s="176">
        <f>X34-X38</f>
        <v/>
      </c>
      <c r="Y40" s="176">
        <f>Y34-Y38</f>
        <v/>
      </c>
      <c r="Z40" s="176">
        <f>Z34-Z38</f>
        <v/>
      </c>
      <c r="AA40" s="176">
        <f>AA34-AA38</f>
        <v/>
      </c>
      <c r="AB40" s="176">
        <f>AB34-AB38</f>
        <v/>
      </c>
      <c r="AC40" s="176">
        <f>AC34-AC38</f>
        <v/>
      </c>
      <c r="AD40" s="176">
        <f>AD34-AD38</f>
        <v/>
      </c>
      <c r="AE40" s="176">
        <f>AE34-AE38</f>
        <v/>
      </c>
      <c r="AF40" s="176">
        <f>AF34-AF38</f>
        <v/>
      </c>
    </row>
    <row r="41" ht="16.5" customHeight="1" s="534">
      <c r="B41" s="142" t="n"/>
      <c r="C41" s="143" t="n"/>
      <c r="D41" s="143" t="n"/>
      <c r="E41" s="143" t="n"/>
      <c r="F41" s="143" t="n"/>
      <c r="G41" s="143" t="n"/>
      <c r="H41" s="143" t="n"/>
      <c r="I41" s="143" t="n"/>
      <c r="J41" s="143" t="n"/>
      <c r="K41" s="143" t="n"/>
      <c r="L41" s="143" t="n"/>
      <c r="M41" s="143" t="n"/>
      <c r="N41" s="143" t="n"/>
      <c r="O41" s="143" t="n"/>
      <c r="P41" s="143" t="n"/>
      <c r="Q41" s="143" t="n"/>
      <c r="R41" s="143" t="n"/>
      <c r="S41" s="143" t="n"/>
      <c r="T41" s="143" t="n"/>
      <c r="U41" s="143" t="n"/>
      <c r="V41" s="143" t="n"/>
      <c r="W41" s="143" t="n"/>
      <c r="X41" s="143" t="n"/>
      <c r="Y41" s="143" t="n"/>
      <c r="Z41" s="143" t="n"/>
      <c r="AA41" s="143" t="n"/>
      <c r="AB41" s="143" t="n"/>
      <c r="AC41" s="143" t="n"/>
      <c r="AD41" s="143" t="n"/>
      <c r="AE41" s="143" t="n"/>
      <c r="AF41" s="143" t="n"/>
    </row>
    <row r="42" ht="16.5" customHeight="1" s="534">
      <c r="A42" s="282" t="inlineStr">
        <is>
          <t>DSCR Block</t>
        </is>
      </c>
      <c r="B42" s="282" t="n"/>
      <c r="C42" s="143" t="n"/>
      <c r="D42" s="143" t="n"/>
      <c r="E42" s="143" t="n"/>
      <c r="F42" s="143" t="n"/>
      <c r="G42" s="143" t="n"/>
      <c r="H42" s="143" t="n"/>
      <c r="I42" s="143" t="n"/>
      <c r="J42" s="143" t="n"/>
      <c r="K42" s="143" t="n"/>
      <c r="L42" s="143" t="n"/>
      <c r="M42" s="143" t="n"/>
      <c r="N42" s="143" t="n"/>
      <c r="O42" s="143" t="n"/>
      <c r="P42" s="143" t="n"/>
      <c r="Q42" s="143" t="n"/>
      <c r="R42" s="143" t="n"/>
      <c r="S42" s="143" t="n"/>
      <c r="T42" s="143" t="n"/>
      <c r="U42" s="143" t="n"/>
      <c r="V42" s="143" t="n"/>
      <c r="W42" s="143" t="n"/>
      <c r="X42" s="143" t="n"/>
      <c r="Y42" s="143" t="n"/>
      <c r="Z42" s="143" t="n"/>
      <c r="AA42" s="143" t="n"/>
      <c r="AB42" s="143" t="n"/>
      <c r="AC42" s="143" t="n"/>
      <c r="AD42" s="143" t="n"/>
      <c r="AE42" s="143" t="n"/>
      <c r="AF42" s="143" t="n"/>
    </row>
    <row r="43" ht="18" customHeight="1" s="534">
      <c r="B43" s="328" t="inlineStr">
        <is>
          <t>CFADS ($)</t>
        </is>
      </c>
      <c r="C43" s="116">
        <f>C40</f>
        <v/>
      </c>
      <c r="D43" s="116">
        <f>D40</f>
        <v/>
      </c>
      <c r="E43" s="116">
        <f>E40</f>
        <v/>
      </c>
      <c r="F43" s="116">
        <f>F40</f>
        <v/>
      </c>
      <c r="G43" s="116">
        <f>G40</f>
        <v/>
      </c>
      <c r="H43" s="116">
        <f>H40</f>
        <v/>
      </c>
      <c r="I43" s="116">
        <f>I40</f>
        <v/>
      </c>
      <c r="J43" s="116">
        <f>J40</f>
        <v/>
      </c>
      <c r="K43" s="116">
        <f>K40</f>
        <v/>
      </c>
      <c r="L43" s="116">
        <f>L40</f>
        <v/>
      </c>
      <c r="M43" s="116">
        <f>M40</f>
        <v/>
      </c>
      <c r="N43" s="116">
        <f>N40</f>
        <v/>
      </c>
      <c r="O43" s="116">
        <f>O40</f>
        <v/>
      </c>
      <c r="P43" s="116">
        <f>P40</f>
        <v/>
      </c>
      <c r="Q43" s="116">
        <f>Q40</f>
        <v/>
      </c>
      <c r="R43" s="116">
        <f>R40</f>
        <v/>
      </c>
      <c r="S43" s="116">
        <f>S40</f>
        <v/>
      </c>
      <c r="T43" s="116">
        <f>T40</f>
        <v/>
      </c>
      <c r="U43" s="116">
        <f>U40</f>
        <v/>
      </c>
      <c r="V43" s="116">
        <f>V40</f>
        <v/>
      </c>
      <c r="W43" s="116">
        <f>W40</f>
        <v/>
      </c>
      <c r="X43" s="116">
        <f>X40</f>
        <v/>
      </c>
      <c r="Y43" s="116">
        <f>Y40</f>
        <v/>
      </c>
      <c r="Z43" s="116">
        <f>Z40</f>
        <v/>
      </c>
      <c r="AA43" s="116">
        <f>AA40</f>
        <v/>
      </c>
      <c r="AB43" s="116">
        <f>AB40</f>
        <v/>
      </c>
      <c r="AC43" s="116">
        <f>AC40</f>
        <v/>
      </c>
      <c r="AD43" s="116">
        <f>AD40</f>
        <v/>
      </c>
      <c r="AE43" s="116">
        <f>AE40</f>
        <v/>
      </c>
      <c r="AF43" s="116">
        <f>AF40</f>
        <v/>
      </c>
    </row>
    <row r="44" ht="16.5" customHeight="1" s="534">
      <c r="B44" s="326" t="inlineStr">
        <is>
          <t>Total Debt Service ($)</t>
        </is>
      </c>
      <c r="C44" s="327">
        <f>C24</f>
        <v/>
      </c>
      <c r="D44" s="327">
        <f>D24</f>
        <v/>
      </c>
      <c r="E44" s="327">
        <f>E24</f>
        <v/>
      </c>
      <c r="F44" s="327">
        <f>F24</f>
        <v/>
      </c>
      <c r="G44" s="327">
        <f>G24</f>
        <v/>
      </c>
      <c r="H44" s="327">
        <f>H24</f>
        <v/>
      </c>
      <c r="I44" s="327">
        <f>I24</f>
        <v/>
      </c>
      <c r="J44" s="327">
        <f>J24</f>
        <v/>
      </c>
      <c r="K44" s="327">
        <f>K24</f>
        <v/>
      </c>
      <c r="L44" s="327">
        <f>L24</f>
        <v/>
      </c>
      <c r="M44" s="327">
        <f>M24</f>
        <v/>
      </c>
      <c r="N44" s="327">
        <f>N24</f>
        <v/>
      </c>
      <c r="O44" s="327">
        <f>O24</f>
        <v/>
      </c>
      <c r="P44" s="327">
        <f>P24</f>
        <v/>
      </c>
      <c r="Q44" s="327">
        <f>Q24</f>
        <v/>
      </c>
      <c r="R44" s="327">
        <f>R24</f>
        <v/>
      </c>
      <c r="S44" s="327">
        <f>S24</f>
        <v/>
      </c>
      <c r="T44" s="327">
        <f>T24</f>
        <v/>
      </c>
      <c r="U44" s="327">
        <f>U24</f>
        <v/>
      </c>
      <c r="V44" s="327">
        <f>V24</f>
        <v/>
      </c>
      <c r="W44" s="327">
        <f>W24</f>
        <v/>
      </c>
      <c r="X44" s="327">
        <f>X24</f>
        <v/>
      </c>
      <c r="Y44" s="327">
        <f>Y24</f>
        <v/>
      </c>
      <c r="Z44" s="327">
        <f>Z24</f>
        <v/>
      </c>
      <c r="AA44" s="327">
        <f>AA24</f>
        <v/>
      </c>
      <c r="AB44" s="327">
        <f>AB24</f>
        <v/>
      </c>
      <c r="AC44" s="327">
        <f>AC24</f>
        <v/>
      </c>
      <c r="AD44" s="327">
        <f>AD24</f>
        <v/>
      </c>
      <c r="AE44" s="327">
        <f>AE24</f>
        <v/>
      </c>
      <c r="AF44" s="327">
        <f>AF24</f>
        <v/>
      </c>
    </row>
    <row r="45" ht="16.5" customHeight="1" s="534">
      <c r="B45" s="251" t="inlineStr">
        <is>
          <t>DSCR (Year N)</t>
        </is>
      </c>
      <c r="C45" s="110">
        <f>IF(C44=0,"N/A",C43/C44)</f>
        <v/>
      </c>
      <c r="D45" s="110">
        <f>IF(D44=0,"N/A",D43/D44)</f>
        <v/>
      </c>
      <c r="E45" s="110">
        <f>IF(E44=0,"N/A",E43/E44)</f>
        <v/>
      </c>
      <c r="F45" s="110">
        <f>IF(F44=0,"N/A",F43/F44)</f>
        <v/>
      </c>
      <c r="G45" s="110">
        <f>IF(G44=0,"N/A",G43/G44)</f>
        <v/>
      </c>
      <c r="H45" s="110">
        <f>IF(H44=0,"N/A",H43/H44)</f>
        <v/>
      </c>
      <c r="I45" s="110">
        <f>IF(I44=0,"N/A",I43/I44)</f>
        <v/>
      </c>
      <c r="J45" s="110">
        <f>IF(J44=0,"N/A",J43/J44)</f>
        <v/>
      </c>
      <c r="K45" s="110">
        <f>IF(K44=0,"N/A",K43/K44)</f>
        <v/>
      </c>
      <c r="L45" s="110">
        <f>IF(L44=0,"N/A",L43/L44)</f>
        <v/>
      </c>
      <c r="M45" s="110">
        <f>IF(M44=0,"N/A",M43/M44)</f>
        <v/>
      </c>
      <c r="N45" s="110">
        <f>IF(N44=0,"N/A",N43/N44)</f>
        <v/>
      </c>
      <c r="O45" s="110">
        <f>IF(O44=0,"N/A",O43/O44)</f>
        <v/>
      </c>
      <c r="P45" s="110">
        <f>IF(P44=0,"N/A",P43/P44)</f>
        <v/>
      </c>
      <c r="Q45" s="110">
        <f>IF(Q44=0,"N/A",Q43/Q44)</f>
        <v/>
      </c>
      <c r="R45" s="110">
        <f>IF(R44=0,"N/A",R43/R44)</f>
        <v/>
      </c>
      <c r="S45" s="110">
        <f>IF(S44=0,"N/A",S43/S44)</f>
        <v/>
      </c>
      <c r="T45" s="110">
        <f>IF(T44=0,"N/A",T43/T44)</f>
        <v/>
      </c>
      <c r="U45" s="110">
        <f>IF(U44=0,"N/A",U43/U44)</f>
        <v/>
      </c>
      <c r="V45" s="110">
        <f>IF(V44=0,"N/A",V43/V44)</f>
        <v/>
      </c>
      <c r="W45" s="110">
        <f>IF(W44=0,"N/A",W43/W44)</f>
        <v/>
      </c>
      <c r="X45" s="110">
        <f>IF(X44=0,"N/A",X43/X44)</f>
        <v/>
      </c>
      <c r="Y45" s="110">
        <f>IF(Y44=0,"N/A",Y43/Y44)</f>
        <v/>
      </c>
      <c r="Z45" s="110">
        <f>IF(Z44=0,"N/A",Z43/Z44)</f>
        <v/>
      </c>
      <c r="AA45" s="110">
        <f>IF(AA44=0,"N/A",AA43/AA44)</f>
        <v/>
      </c>
      <c r="AB45" s="110">
        <f>IF(AB44=0,"N/A",AB43/AB44)</f>
        <v/>
      </c>
      <c r="AC45" s="110">
        <f>IF(AC44=0,"N/A",AC43/AC44)</f>
        <v/>
      </c>
      <c r="AD45" s="110">
        <f>IF(AD44=0,"N/A",AD43/AD44)</f>
        <v/>
      </c>
      <c r="AE45" s="110">
        <f>IF(AE44=0,"N/A",AE43/AE44)</f>
        <v/>
      </c>
      <c r="AF45" s="110">
        <f>IF(AF44=0,"N/A",AF43/AF44)</f>
        <v/>
      </c>
    </row>
    <row r="46" ht="16.5" customHeight="1" s="534">
      <c r="B46" s="253" t="inlineStr">
        <is>
          <t>Minimum DSCR Covenant</t>
        </is>
      </c>
      <c r="C46" s="118">
        <f>Inputs!$D$69</f>
        <v/>
      </c>
      <c r="D46" s="118">
        <f>Inputs!$D$69</f>
        <v/>
      </c>
      <c r="E46" s="118">
        <f>Inputs!$D$69</f>
        <v/>
      </c>
      <c r="F46" s="118">
        <f>Inputs!$D$69</f>
        <v/>
      </c>
      <c r="G46" s="118">
        <f>Inputs!$D$69</f>
        <v/>
      </c>
      <c r="H46" s="118">
        <f>Inputs!$D$69</f>
        <v/>
      </c>
      <c r="I46" s="118">
        <f>Inputs!$D$69</f>
        <v/>
      </c>
      <c r="J46" s="118">
        <f>Inputs!$D$69</f>
        <v/>
      </c>
      <c r="K46" s="118">
        <f>Inputs!$D$69</f>
        <v/>
      </c>
      <c r="L46" s="118">
        <f>Inputs!$D$69</f>
        <v/>
      </c>
      <c r="M46" s="118">
        <f>Inputs!$D$69</f>
        <v/>
      </c>
      <c r="N46" s="118">
        <f>Inputs!$D$69</f>
        <v/>
      </c>
      <c r="O46" s="118">
        <f>Inputs!$D$69</f>
        <v/>
      </c>
      <c r="P46" s="118">
        <f>Inputs!$D$69</f>
        <v/>
      </c>
      <c r="Q46" s="118">
        <f>Inputs!$D$69</f>
        <v/>
      </c>
      <c r="R46" s="118">
        <f>Inputs!$D$69</f>
        <v/>
      </c>
      <c r="S46" s="118">
        <f>Inputs!$D$69</f>
        <v/>
      </c>
      <c r="T46" s="118">
        <f>Inputs!$D$69</f>
        <v/>
      </c>
      <c r="U46" s="118">
        <f>Inputs!$D$69</f>
        <v/>
      </c>
      <c r="V46" s="118">
        <f>Inputs!$D$69</f>
        <v/>
      </c>
      <c r="W46" s="118">
        <f>Inputs!$D$69</f>
        <v/>
      </c>
      <c r="X46" s="118">
        <f>Inputs!$D$69</f>
        <v/>
      </c>
      <c r="Y46" s="118">
        <f>Inputs!$D$69</f>
        <v/>
      </c>
      <c r="Z46" s="118">
        <f>Inputs!$D$69</f>
        <v/>
      </c>
      <c r="AA46" s="118">
        <f>Inputs!$D$69</f>
        <v/>
      </c>
      <c r="AB46" s="118">
        <f>Inputs!$D$69</f>
        <v/>
      </c>
      <c r="AC46" s="118">
        <f>Inputs!$D$69</f>
        <v/>
      </c>
      <c r="AD46" s="118">
        <f>Inputs!$D$69</f>
        <v/>
      </c>
      <c r="AE46" s="118">
        <f>Inputs!$D$69</f>
        <v/>
      </c>
      <c r="AF46" s="118">
        <f>Inputs!$D$69</f>
        <v/>
      </c>
    </row>
    <row r="47" ht="16.5" customHeight="1" s="534">
      <c r="B47" s="251" t="inlineStr">
        <is>
          <t>DSCR Headroom</t>
        </is>
      </c>
      <c r="C47" s="110">
        <f>C45-C46</f>
        <v/>
      </c>
      <c r="D47" s="110">
        <f>D45-D46</f>
        <v/>
      </c>
      <c r="E47" s="110">
        <f>E45-E46</f>
        <v/>
      </c>
      <c r="F47" s="110">
        <f>F45-F46</f>
        <v/>
      </c>
      <c r="G47" s="110">
        <f>G45-G46</f>
        <v/>
      </c>
      <c r="H47" s="110">
        <f>H45-H46</f>
        <v/>
      </c>
      <c r="I47" s="110">
        <f>I45-I46</f>
        <v/>
      </c>
      <c r="J47" s="110">
        <f>J45-J46</f>
        <v/>
      </c>
      <c r="K47" s="110">
        <f>K45-K46</f>
        <v/>
      </c>
      <c r="L47" s="110">
        <f>L45-L46</f>
        <v/>
      </c>
      <c r="M47" s="110">
        <f>M45-M46</f>
        <v/>
      </c>
      <c r="N47" s="110">
        <f>N45-N46</f>
        <v/>
      </c>
      <c r="O47" s="110">
        <f>O45-O46</f>
        <v/>
      </c>
      <c r="P47" s="110">
        <f>P45-P46</f>
        <v/>
      </c>
      <c r="Q47" s="110">
        <f>Q45-Q46</f>
        <v/>
      </c>
      <c r="R47" s="110">
        <f>R45-R46</f>
        <v/>
      </c>
      <c r="S47" s="110">
        <f>S45-S46</f>
        <v/>
      </c>
      <c r="T47" s="568">
        <f>T45-T46</f>
        <v/>
      </c>
      <c r="U47" s="110">
        <f>IFERROR(U45-U46,"")</f>
        <v/>
      </c>
      <c r="V47" s="110">
        <f>IFERROR(V45-V46,"")</f>
        <v/>
      </c>
      <c r="W47" s="110">
        <f>IFERROR(W45-W46,"")</f>
        <v/>
      </c>
      <c r="X47" s="110">
        <f>IFERROR(X45-X46,"")</f>
        <v/>
      </c>
      <c r="Y47" s="110">
        <f>IFERROR(Y45-Y46,"")</f>
        <v/>
      </c>
      <c r="Z47" s="110">
        <f>IFERROR(Z45-Z46,"")</f>
        <v/>
      </c>
      <c r="AA47" s="110">
        <f>IFERROR(AA45-AA46,"")</f>
        <v/>
      </c>
      <c r="AB47" s="110">
        <f>IFERROR(AB45-AB46,"")</f>
        <v/>
      </c>
      <c r="AC47" s="110">
        <f>IFERROR(AC45-AC46,"")</f>
        <v/>
      </c>
      <c r="AD47" s="110">
        <f>IFERROR(AD45-AD46,"")</f>
        <v/>
      </c>
      <c r="AE47" s="110">
        <f>IFERROR(AE45-AE46,"")</f>
        <v/>
      </c>
      <c r="AF47" s="110">
        <f>IFERROR(AF45-AF46,"")</f>
        <v/>
      </c>
    </row>
    <row r="48" ht="16.5" customHeight="1" s="534">
      <c r="B48" s="253" t="inlineStr">
        <is>
          <t>Covenant Breach Flag</t>
        </is>
      </c>
      <c r="C48" s="119">
        <f>IF(C47&lt;0,"BREACH","OK")</f>
        <v/>
      </c>
      <c r="D48" s="119">
        <f>IF(D47&lt;0,"BREACH","OK")</f>
        <v/>
      </c>
      <c r="E48" s="119">
        <f>IF(E47&lt;0,"BREACH","OK")</f>
        <v/>
      </c>
      <c r="F48" s="119">
        <f>IF(F47&lt;0,"BREACH","OK")</f>
        <v/>
      </c>
      <c r="G48" s="119">
        <f>IF(G47&lt;0,"BREACH","OK")</f>
        <v/>
      </c>
      <c r="H48" s="119">
        <f>IF(H47&lt;0,"BREACH","OK")</f>
        <v/>
      </c>
      <c r="I48" s="119">
        <f>IF(I47&lt;0,"BREACH","OK")</f>
        <v/>
      </c>
      <c r="J48" s="119">
        <f>IF(J47&lt;0,"BREACH","OK")</f>
        <v/>
      </c>
      <c r="K48" s="119">
        <f>IF(K47&lt;0,"BREACH","OK")</f>
        <v/>
      </c>
      <c r="L48" s="119">
        <f>IF(L47&lt;0,"BREACH","OK")</f>
        <v/>
      </c>
      <c r="M48" s="119">
        <f>IF(M47&lt;0,"BREACH","OK")</f>
        <v/>
      </c>
      <c r="N48" s="119">
        <f>IF(N47&lt;0,"BREACH","OK")</f>
        <v/>
      </c>
      <c r="O48" s="119">
        <f>IF(O47&lt;0,"BREACH","OK")</f>
        <v/>
      </c>
      <c r="P48" s="119">
        <f>IF(P47&lt;0,"BREACH","OK")</f>
        <v/>
      </c>
      <c r="Q48" s="119">
        <f>IF(Q47&lt;0,"BREACH","OK")</f>
        <v/>
      </c>
      <c r="R48" s="119">
        <f>IF(R47&lt;0,"BREACH","OK")</f>
        <v/>
      </c>
      <c r="S48" s="119">
        <f>IF(S47&lt;0,"BREACH","OK")</f>
        <v/>
      </c>
      <c r="T48" s="119">
        <f>IF(T47&lt;0,"BREACH","OK")</f>
        <v/>
      </c>
      <c r="U48" s="119">
        <f>IF(U47&lt;0,"BREACH","OK")</f>
        <v/>
      </c>
      <c r="V48" s="119">
        <f>IF(V47&lt;0,"BREACH","OK")</f>
        <v/>
      </c>
      <c r="W48" s="119">
        <f>IF(W47&lt;0,"BREACH","OK")</f>
        <v/>
      </c>
      <c r="X48" s="119">
        <f>IF(X47&lt;0,"BREACH","OK")</f>
        <v/>
      </c>
      <c r="Y48" s="119">
        <f>IF(Y47&lt;0,"BREACH","OK")</f>
        <v/>
      </c>
      <c r="Z48" s="119">
        <f>IF(Z47&lt;0,"BREACH","OK")</f>
        <v/>
      </c>
      <c r="AA48" s="119">
        <f>IF(AA47&lt;0,"BREACH","OK")</f>
        <v/>
      </c>
      <c r="AB48" s="119">
        <f>IF(AB47&lt;0,"BREACH","OK")</f>
        <v/>
      </c>
      <c r="AC48" s="119">
        <f>IF(AC47&lt;0,"BREACH","OK")</f>
        <v/>
      </c>
      <c r="AD48" s="119">
        <f>IF(AD47&lt;0,"BREACH","OK")</f>
        <v/>
      </c>
      <c r="AE48" s="119">
        <f>IF(AE47&lt;0,"BREACH","OK")</f>
        <v/>
      </c>
      <c r="AF48" s="119">
        <f>IF(AF47&lt;0,"BREACH","OK")</f>
        <v/>
      </c>
    </row>
    <row r="49" ht="18" customHeight="1" s="534">
      <c r="B49" s="261" t="inlineStr">
        <is>
          <t>Minimum DSCR (debt period)</t>
        </is>
      </c>
      <c r="C49" s="151">
        <f>MIN(C45:T45)</f>
        <v/>
      </c>
      <c r="D49" s="178" t="n"/>
      <c r="E49" s="177" t="n"/>
      <c r="F49" s="177" t="n"/>
      <c r="G49" s="177" t="n"/>
      <c r="H49" s="177" t="n"/>
      <c r="I49" s="177" t="n"/>
      <c r="J49" s="177" t="n"/>
      <c r="K49" s="177" t="n"/>
      <c r="L49" s="177" t="n"/>
      <c r="M49" s="177" t="n"/>
      <c r="N49" s="177" t="n"/>
      <c r="O49" s="177" t="n"/>
      <c r="P49" s="177" t="n"/>
      <c r="Q49" s="177" t="n"/>
      <c r="R49" s="177" t="n"/>
      <c r="S49" s="177" t="n"/>
      <c r="T49" s="177" t="n"/>
      <c r="U49" s="177" t="n"/>
      <c r="V49" s="177" t="n"/>
      <c r="W49" s="177" t="n"/>
      <c r="X49" s="177" t="n"/>
      <c r="Y49" s="177" t="n"/>
      <c r="Z49" s="177" t="n"/>
      <c r="AA49" s="177" t="n"/>
      <c r="AB49" s="177" t="n"/>
      <c r="AC49" s="177" t="n"/>
      <c r="AD49" s="177" t="n"/>
      <c r="AE49" s="177" t="n"/>
      <c r="AF49" s="177" t="n"/>
    </row>
    <row r="50" ht="16.5" customHeight="1" s="534">
      <c r="B50" s="278" t="inlineStr">
        <is>
          <t>Average DSCR (debt period)</t>
        </is>
      </c>
      <c r="C50" s="174">
        <f>AVERAGE(C45:T45)</f>
        <v/>
      </c>
      <c r="D50" s="171" t="n"/>
      <c r="E50" s="143" t="n"/>
      <c r="F50" s="143" t="n"/>
      <c r="G50" s="143" t="n"/>
      <c r="H50" s="143" t="n"/>
      <c r="I50" s="143" t="n"/>
      <c r="J50" s="143" t="n"/>
      <c r="K50" s="143" t="n"/>
      <c r="L50" s="143" t="n"/>
      <c r="M50" s="143" t="n"/>
      <c r="N50" s="143" t="n"/>
      <c r="O50" s="143" t="n"/>
      <c r="P50" s="143" t="n"/>
      <c r="Q50" s="143" t="n"/>
      <c r="R50" s="143" t="n"/>
      <c r="S50" s="143" t="n"/>
      <c r="T50" s="143" t="n"/>
      <c r="U50" s="143" t="n"/>
      <c r="V50" s="143" t="n"/>
      <c r="W50" s="143" t="n"/>
      <c r="X50" s="143" t="n"/>
      <c r="Y50" s="143" t="n"/>
      <c r="Z50" s="143" t="n"/>
      <c r="AA50" s="143" t="n"/>
      <c r="AB50" s="143" t="n"/>
      <c r="AC50" s="143" t="n"/>
      <c r="AD50" s="143" t="n"/>
      <c r="AE50" s="143" t="n"/>
      <c r="AF50" s="143" t="n"/>
    </row>
    <row r="51" ht="16.5" customHeight="1" s="534">
      <c r="B51" s="251" t="inlineStr">
        <is>
          <t>P50 DSCR (Year 1)</t>
        </is>
      </c>
      <c r="C51" s="150">
        <f>C40/C44</f>
        <v/>
      </c>
      <c r="D51" s="171" t="n"/>
      <c r="E51" s="143" t="n"/>
      <c r="F51" s="143" t="n"/>
      <c r="G51" s="143" t="n"/>
      <c r="H51" s="143" t="n"/>
      <c r="I51" s="143" t="n"/>
      <c r="J51" s="143" t="n"/>
      <c r="K51" s="143" t="n"/>
      <c r="L51" s="143" t="n"/>
      <c r="M51" s="143" t="n"/>
      <c r="N51" s="143" t="n"/>
      <c r="O51" s="143" t="n"/>
      <c r="P51" s="143" t="n"/>
      <c r="Q51" s="143" t="n"/>
      <c r="R51" s="143" t="n"/>
      <c r="S51" s="143" t="n"/>
      <c r="T51" s="143" t="n"/>
      <c r="U51" s="143" t="n"/>
      <c r="V51" s="143" t="n"/>
      <c r="W51" s="143" t="n"/>
      <c r="X51" s="143" t="n"/>
      <c r="Y51" s="143" t="n"/>
      <c r="Z51" s="143" t="n"/>
      <c r="AA51" s="143" t="n"/>
      <c r="AB51" s="143" t="n"/>
      <c r="AC51" s="143" t="n"/>
      <c r="AD51" s="143" t="n"/>
      <c r="AE51" s="143" t="n"/>
      <c r="AF51" s="143" t="n"/>
    </row>
  </sheetData>
  <mergeCells count="1">
    <mergeCell ref="A1:AF1"/>
  </mergeCells>
  <conditionalFormatting sqref="C12">
    <cfRule type="cellIs" priority="1" operator="lessThan" dxfId="16">
      <formula>0</formula>
    </cfRule>
    <cfRule type="cellIs" priority="2" operator="greaterThan" dxfId="16">
      <formula>0</formula>
    </cfRule>
  </conditionalFormatting>
  <conditionalFormatting sqref="T27">
    <cfRule type="cellIs" priority="5" operator="equal" dxfId="30">
      <formula>"PASS"</formula>
    </cfRule>
  </conditionalFormatting>
  <pageMargins left="0.7" right="0.7" top="0.75" bottom="0.75" header="0.511811023622047" footer="0.511811023622047"/>
  <pageSetup orientation="portrait" paperSize="9" horizontalDpi="300" verticalDpi="300"/>
</worksheet>
</file>

<file path=xl/worksheets/sheet7.xml><?xml version="1.0" encoding="utf-8"?>
<worksheet xmlns="http://schemas.openxmlformats.org/spreadsheetml/2006/main">
  <sheetPr>
    <tabColor rgb="FF7030A0"/>
    <outlinePr summaryBelow="1" summaryRight="1"/>
    <pageSetUpPr/>
  </sheetPr>
  <dimension ref="A1:AF71"/>
  <sheetViews>
    <sheetView showGridLines="0" zoomScaleNormal="100" workbookViewId="0">
      <pane xSplit="2" ySplit="15" topLeftCell="N46" activePane="bottomRight" state="frozen"/>
      <selection pane="topRight" activeCell="C1" sqref="C1"/>
      <selection pane="bottomLeft" activeCell="A16" sqref="A16"/>
      <selection pane="bottomRight" activeCell="T64" sqref="T64"/>
    </sheetView>
  </sheetViews>
  <sheetFormatPr baseColWidth="8" defaultColWidth="8.7265625" defaultRowHeight="14.5"/>
  <cols>
    <col width="1" customWidth="1" style="534" min="1" max="1"/>
    <col width="37.26953125" bestFit="1" customWidth="1" style="534" min="2" max="2"/>
    <col width="14" bestFit="1" customWidth="1" style="534" min="3" max="4"/>
    <col width="12.453125" bestFit="1" customWidth="1" style="534" min="5" max="8"/>
    <col width="11.453125" bestFit="1" customWidth="1" style="534" min="9" max="32"/>
  </cols>
  <sheetData>
    <row r="1" ht="27.75" customHeight="1" s="534" thickBot="1">
      <c r="A1" s="512" t="inlineStr">
        <is>
          <t>TAX  —  ITC/PTC Election · MACRS Depreciation · Tax Liability  ·  Optimal: PTC ($74.9M)  |  Elected: ITC ($69.9M)</t>
        </is>
      </c>
      <c r="B1" s="535" t="n"/>
      <c r="C1" s="535" t="n"/>
      <c r="D1" s="535" t="n"/>
      <c r="E1" s="535" t="n"/>
      <c r="F1" s="535" t="n"/>
      <c r="G1" s="535" t="n"/>
      <c r="H1" s="535" t="n"/>
      <c r="I1" s="535" t="n"/>
      <c r="J1" s="535" t="n"/>
      <c r="K1" s="535" t="n"/>
      <c r="L1" s="535" t="n"/>
      <c r="M1" s="535" t="n"/>
      <c r="N1" s="535" t="n"/>
      <c r="O1" s="535" t="n"/>
      <c r="P1" s="535" t="n"/>
      <c r="Q1" s="535" t="n"/>
      <c r="R1" s="535" t="n"/>
      <c r="S1" s="535" t="n"/>
      <c r="T1" s="535" t="n"/>
      <c r="U1" s="535" t="n"/>
      <c r="V1" s="535" t="n"/>
      <c r="W1" s="535" t="n"/>
      <c r="X1" s="535" t="n"/>
      <c r="Y1" s="535" t="n"/>
      <c r="Z1" s="535" t="n"/>
      <c r="AA1" s="535" t="n"/>
      <c r="AB1" s="535" t="n"/>
      <c r="AC1" s="535" t="n"/>
      <c r="AD1" s="535" t="n"/>
      <c r="AE1" s="535" t="n"/>
      <c r="AF1" s="535" t="n"/>
    </row>
    <row r="2" ht="16.5" customHeight="1" s="534" thickBot="1">
      <c r="A2" s="82" t="inlineStr">
        <is>
          <t>Block 1 — Section 48E ITC Calculation</t>
        </is>
      </c>
      <c r="B2" s="82" t="n"/>
      <c r="C2" s="82" t="n"/>
      <c r="D2" s="171" t="n"/>
      <c r="E2" s="143" t="n"/>
      <c r="F2" s="143" t="n"/>
      <c r="G2" s="143" t="n"/>
      <c r="H2" s="143" t="n"/>
      <c r="I2" s="143" t="n"/>
      <c r="J2" s="143" t="n"/>
      <c r="K2" s="143" t="n"/>
      <c r="L2" s="143" t="n"/>
      <c r="M2" s="143" t="n"/>
      <c r="N2" s="143" t="n"/>
      <c r="O2" s="143" t="n"/>
      <c r="P2" s="143" t="n"/>
      <c r="Q2" s="143" t="n"/>
      <c r="R2" s="143" t="n"/>
      <c r="S2" s="143" t="n"/>
      <c r="T2" s="143" t="n"/>
      <c r="U2" s="143" t="n"/>
      <c r="V2" s="143" t="n"/>
      <c r="W2" s="143" t="n"/>
      <c r="X2" s="143" t="n"/>
      <c r="Y2" s="143" t="n"/>
      <c r="Z2" s="143" t="n"/>
      <c r="AA2" s="143" t="n"/>
      <c r="AB2" s="143" t="n"/>
      <c r="AC2" s="143" t="n"/>
      <c r="AD2" s="143" t="n"/>
      <c r="AE2" s="143" t="n"/>
      <c r="AF2" s="143" t="n"/>
    </row>
    <row r="3" ht="16.5" customHeight="1" s="534">
      <c r="B3" s="251" t="inlineStr">
        <is>
          <t>Total Project Cost ($)</t>
        </is>
      </c>
      <c r="C3" s="258">
        <f>Costs!C13</f>
        <v/>
      </c>
      <c r="D3" s="171" t="n"/>
      <c r="E3" s="143" t="n"/>
      <c r="F3" s="143" t="n"/>
      <c r="G3" s="143" t="n"/>
      <c r="H3" s="143" t="n"/>
      <c r="I3" s="143" t="n"/>
      <c r="J3" s="143" t="n"/>
      <c r="K3" s="143" t="n"/>
      <c r="L3" s="143" t="n"/>
      <c r="M3" s="143" t="n"/>
      <c r="N3" s="143" t="n"/>
      <c r="O3" s="143" t="n"/>
      <c r="P3" s="143" t="n"/>
      <c r="Q3" s="143" t="n"/>
      <c r="R3" s="143" t="n"/>
      <c r="S3" s="143" t="n"/>
      <c r="T3" s="143" t="n"/>
      <c r="U3" s="143" t="n"/>
      <c r="V3" s="143" t="n"/>
      <c r="W3" s="143" t="n"/>
      <c r="X3" s="143" t="n"/>
      <c r="Y3" s="143" t="n"/>
      <c r="Z3" s="143" t="n"/>
      <c r="AA3" s="143" t="n"/>
      <c r="AB3" s="143" t="n"/>
      <c r="AC3" s="143" t="n"/>
      <c r="AD3" s="143" t="n"/>
      <c r="AE3" s="143" t="n"/>
      <c r="AF3" s="143" t="n"/>
    </row>
    <row r="4" ht="16.5" customHeight="1" s="534">
      <c r="B4" s="278" t="inlineStr">
        <is>
          <t>Less: Development Costs ($)</t>
        </is>
      </c>
      <c r="C4" s="329">
        <f>Costs!$C$8</f>
        <v/>
      </c>
      <c r="D4" s="171" t="n"/>
      <c r="E4" s="143" t="n"/>
      <c r="F4" s="143" t="n"/>
      <c r="G4" s="143" t="n"/>
      <c r="H4" s="143" t="n"/>
      <c r="I4" s="143" t="n"/>
      <c r="J4" s="143" t="n"/>
      <c r="K4" s="143" t="n"/>
      <c r="L4" s="143" t="n"/>
      <c r="M4" s="143" t="n"/>
      <c r="N4" s="143" t="n"/>
      <c r="O4" s="143" t="n"/>
      <c r="P4" s="143" t="n"/>
      <c r="Q4" s="143" t="n"/>
      <c r="R4" s="143" t="n"/>
      <c r="S4" s="143" t="n"/>
      <c r="T4" s="143" t="n"/>
      <c r="U4" s="143" t="n"/>
      <c r="V4" s="143" t="n"/>
      <c r="W4" s="143" t="n"/>
      <c r="X4" s="143" t="n"/>
      <c r="Y4" s="143" t="n"/>
      <c r="Z4" s="143" t="n"/>
      <c r="AA4" s="143" t="n"/>
      <c r="AB4" s="143" t="n"/>
      <c r="AC4" s="143" t="n"/>
      <c r="AD4" s="143" t="n"/>
      <c r="AE4" s="143" t="n"/>
      <c r="AF4" s="143" t="n"/>
    </row>
    <row r="5" ht="16.5" customHeight="1" s="534">
      <c r="B5" s="251" t="inlineStr">
        <is>
          <t>Less: Financing Costs ($)</t>
        </is>
      </c>
      <c r="C5" s="258">
        <f>Costs!$C$12</f>
        <v/>
      </c>
      <c r="D5" s="171" t="n"/>
      <c r="E5" s="143" t="n"/>
      <c r="F5" s="143" t="n"/>
      <c r="G5" s="143" t="n"/>
      <c r="H5" s="143" t="n"/>
      <c r="I5" s="143" t="n"/>
      <c r="J5" s="143" t="n"/>
      <c r="K5" s="143" t="n"/>
      <c r="L5" s="143" t="n"/>
      <c r="M5" s="143" t="n"/>
      <c r="N5" s="143" t="n"/>
      <c r="O5" s="143" t="n"/>
      <c r="P5" s="143" t="n"/>
      <c r="Q5" s="143" t="n"/>
      <c r="R5" s="143" t="n"/>
      <c r="S5" s="143" t="n"/>
      <c r="T5" s="143" t="n"/>
      <c r="U5" s="143" t="n"/>
      <c r="V5" s="143" t="n"/>
      <c r="W5" s="143" t="n"/>
      <c r="X5" s="143" t="n"/>
      <c r="Y5" s="143" t="n"/>
      <c r="Z5" s="143" t="n"/>
      <c r="AA5" s="143" t="n"/>
      <c r="AB5" s="143" t="n"/>
      <c r="AC5" s="143" t="n"/>
      <c r="AD5" s="143" t="n"/>
      <c r="AE5" s="143" t="n"/>
      <c r="AF5" s="143" t="n"/>
    </row>
    <row r="6" ht="16.5" customHeight="1" s="534">
      <c r="B6" s="278" t="inlineStr">
        <is>
          <t>Eligible Capex for ITC ($)</t>
        </is>
      </c>
      <c r="C6" s="329">
        <f>C3-C4-C5</f>
        <v/>
      </c>
      <c r="D6" s="171" t="n"/>
      <c r="E6" s="143" t="n"/>
      <c r="F6" s="143" t="n"/>
      <c r="G6" s="143" t="n"/>
      <c r="H6" s="143" t="n"/>
      <c r="I6" s="143" t="n"/>
      <c r="J6" s="143" t="n"/>
      <c r="K6" s="143" t="n"/>
      <c r="L6" s="143" t="n"/>
      <c r="M6" s="143" t="n"/>
      <c r="N6" s="143" t="n"/>
      <c r="O6" s="143" t="n"/>
      <c r="P6" s="143" t="n"/>
      <c r="Q6" s="143" t="n"/>
      <c r="R6" s="143" t="n"/>
      <c r="S6" s="143" t="n"/>
      <c r="T6" s="143" t="n"/>
      <c r="U6" s="143" t="n"/>
      <c r="V6" s="143" t="n"/>
      <c r="W6" s="143" t="n"/>
      <c r="X6" s="143" t="n"/>
      <c r="Y6" s="143" t="n"/>
      <c r="Z6" s="143" t="n"/>
      <c r="AA6" s="143" t="n"/>
      <c r="AB6" s="143" t="n"/>
      <c r="AC6" s="143" t="n"/>
      <c r="AD6" s="143" t="n"/>
      <c r="AE6" s="143" t="n"/>
      <c r="AF6" s="143" t="n"/>
    </row>
    <row r="7" ht="16.5" customHeight="1" s="534">
      <c r="B7" s="251" t="inlineStr">
        <is>
          <t>ITC Rate (%)</t>
        </is>
      </c>
      <c r="C7" s="330">
        <f>Inputs!$D$87</f>
        <v/>
      </c>
      <c r="D7" s="171" t="n"/>
      <c r="E7" s="143" t="n"/>
      <c r="F7" s="143" t="n"/>
      <c r="G7" s="143" t="n"/>
      <c r="H7" s="143" t="n"/>
      <c r="I7" s="143" t="n"/>
      <c r="J7" s="143" t="n"/>
      <c r="K7" s="143" t="n"/>
      <c r="L7" s="143" t="n"/>
      <c r="M7" s="143" t="n"/>
      <c r="N7" s="143" t="n"/>
      <c r="O7" s="143" t="n"/>
      <c r="P7" s="143" t="n"/>
      <c r="Q7" s="143" t="n"/>
      <c r="R7" s="143" t="n"/>
      <c r="S7" s="143" t="n"/>
      <c r="T7" s="143" t="n"/>
      <c r="U7" s="143" t="n"/>
      <c r="V7" s="143" t="n"/>
      <c r="W7" s="143" t="n"/>
      <c r="X7" s="143" t="n"/>
      <c r="Y7" s="143" t="n"/>
      <c r="Z7" s="143" t="n"/>
      <c r="AA7" s="143" t="n"/>
      <c r="AB7" s="143" t="n"/>
      <c r="AC7" s="143" t="n"/>
      <c r="AD7" s="143" t="n"/>
      <c r="AE7" s="143" t="n"/>
      <c r="AF7" s="143" t="n"/>
    </row>
    <row r="8" ht="16.5" customHeight="1" s="534">
      <c r="B8" s="278" t="inlineStr">
        <is>
          <t>Gross ITC Amount ($)</t>
        </is>
      </c>
      <c r="C8" s="329">
        <f>C6*C7</f>
        <v/>
      </c>
      <c r="D8" s="171" t="n"/>
      <c r="E8" s="143" t="n"/>
      <c r="F8" s="143" t="n"/>
      <c r="G8" s="143" t="n"/>
      <c r="H8" s="143" t="n"/>
      <c r="I8" s="143" t="n"/>
      <c r="J8" s="143" t="n"/>
      <c r="K8" s="143" t="n"/>
      <c r="L8" s="143" t="n"/>
      <c r="M8" s="143" t="n"/>
      <c r="N8" s="143" t="n"/>
      <c r="O8" s="143" t="n"/>
      <c r="P8" s="143" t="n"/>
      <c r="Q8" s="143" t="n"/>
      <c r="R8" s="143" t="n"/>
      <c r="S8" s="143" t="n"/>
      <c r="T8" s="143" t="n"/>
      <c r="U8" s="143" t="n"/>
      <c r="V8" s="143" t="n"/>
      <c r="W8" s="143" t="n"/>
      <c r="X8" s="143" t="n"/>
      <c r="Y8" s="143" t="n"/>
      <c r="Z8" s="143" t="n"/>
      <c r="AA8" s="143" t="n"/>
      <c r="AB8" s="143" t="n"/>
      <c r="AC8" s="143" t="n"/>
      <c r="AD8" s="143" t="n"/>
      <c r="AE8" s="143" t="n"/>
      <c r="AF8" s="143" t="n"/>
    </row>
    <row r="9" ht="16.5" customHeight="1" s="534">
      <c r="B9" s="251" t="inlineStr">
        <is>
          <t>ITC Transfer Price (¢/$)</t>
        </is>
      </c>
      <c r="C9" s="289">
        <f>Inputs!$D$88</f>
        <v/>
      </c>
      <c r="D9" s="171" t="n"/>
      <c r="E9" s="143" t="n"/>
      <c r="F9" s="143" t="n"/>
      <c r="G9" s="143" t="n"/>
      <c r="H9" s="143" t="n"/>
      <c r="I9" s="143" t="n"/>
      <c r="J9" s="143" t="n"/>
      <c r="K9" s="143" t="n"/>
      <c r="L9" s="143" t="n"/>
      <c r="M9" s="143" t="n"/>
      <c r="N9" s="143" t="n"/>
      <c r="O9" s="143" t="n"/>
      <c r="P9" s="143" t="n"/>
      <c r="Q9" s="143" t="n"/>
      <c r="R9" s="143" t="n"/>
      <c r="S9" s="143" t="n"/>
      <c r="T9" s="143" t="n"/>
      <c r="U9" s="143" t="n"/>
      <c r="V9" s="143" t="n"/>
      <c r="W9" s="143" t="n"/>
      <c r="X9" s="143" t="n"/>
      <c r="Y9" s="143" t="n"/>
      <c r="Z9" s="143" t="n"/>
      <c r="AA9" s="143" t="n"/>
      <c r="AB9" s="143" t="n"/>
      <c r="AC9" s="143" t="n"/>
      <c r="AD9" s="143" t="n"/>
      <c r="AE9" s="143" t="n"/>
      <c r="AF9" s="143" t="n"/>
    </row>
    <row r="10" ht="18" customHeight="1" s="534">
      <c r="B10" s="261" t="inlineStr">
        <is>
          <t>ITC Cash Proceeds ($)</t>
        </is>
      </c>
      <c r="C10" s="287">
        <f>C8*C9</f>
        <v/>
      </c>
      <c r="D10" s="172" t="n"/>
      <c r="E10" s="156" t="n"/>
      <c r="F10" s="156" t="n"/>
      <c r="G10" s="156" t="n"/>
      <c r="H10" s="156" t="n"/>
      <c r="I10" s="156" t="n"/>
      <c r="J10" s="156" t="n"/>
      <c r="K10" s="156" t="n"/>
      <c r="L10" s="156" t="n"/>
      <c r="M10" s="156" t="n"/>
      <c r="N10" s="156" t="n"/>
      <c r="O10" s="156" t="n"/>
      <c r="P10" s="156" t="n"/>
      <c r="Q10" s="156" t="n"/>
      <c r="R10" s="156" t="n"/>
      <c r="S10" s="156" t="n"/>
      <c r="T10" s="156" t="n"/>
      <c r="U10" s="156" t="n"/>
      <c r="V10" s="156" t="n"/>
      <c r="W10" s="156" t="n"/>
      <c r="X10" s="156" t="n"/>
      <c r="Y10" s="156" t="n"/>
      <c r="Z10" s="156" t="n"/>
      <c r="AA10" s="156" t="n"/>
      <c r="AB10" s="156" t="n"/>
      <c r="AC10" s="156" t="n"/>
      <c r="AD10" s="156" t="n"/>
      <c r="AE10" s="156" t="n"/>
      <c r="AF10" s="156" t="n"/>
    </row>
    <row r="11" ht="16.5" customHeight="1" s="534">
      <c r="B11" s="251" t="inlineStr">
        <is>
          <t>ITC Basis Reduction ($)</t>
        </is>
      </c>
      <c r="C11" s="258">
        <f>C8*0.5</f>
        <v/>
      </c>
      <c r="D11" s="171" t="n"/>
      <c r="E11" s="143" t="n"/>
      <c r="F11" s="143" t="n"/>
      <c r="G11" s="143" t="n"/>
      <c r="H11" s="143" t="n"/>
      <c r="I11" s="143" t="n"/>
      <c r="J11" s="143" t="n"/>
      <c r="K11" s="143" t="n"/>
      <c r="L11" s="143" t="n"/>
      <c r="M11" s="143" t="n"/>
      <c r="N11" s="143" t="n"/>
      <c r="O11" s="143" t="n"/>
      <c r="P11" s="143" t="n"/>
      <c r="Q11" s="143" t="n"/>
      <c r="R11" s="143" t="n"/>
      <c r="S11" s="143" t="n"/>
      <c r="T11" s="143" t="n"/>
      <c r="U11" s="143" t="n"/>
      <c r="V11" s="143" t="n"/>
      <c r="W11" s="143" t="n"/>
      <c r="X11" s="143" t="n"/>
      <c r="Y11" s="143" t="n"/>
      <c r="Z11" s="143" t="n"/>
      <c r="AA11" s="143" t="n"/>
      <c r="AB11" s="143" t="n"/>
      <c r="AC11" s="143" t="n"/>
      <c r="AD11" s="143" t="n"/>
      <c r="AE11" s="143" t="n"/>
      <c r="AF11" s="143" t="n"/>
    </row>
    <row r="12" ht="18" customHeight="1" s="534">
      <c r="B12" s="341" t="inlineStr">
        <is>
          <t>ITC Depreciable Basis ($)</t>
        </is>
      </c>
      <c r="C12" s="342">
        <f>C6-C11</f>
        <v/>
      </c>
      <c r="D12" s="172" t="n"/>
      <c r="E12" s="156" t="n"/>
      <c r="F12" s="156" t="n"/>
      <c r="G12" s="156" t="n"/>
      <c r="H12" s="156" t="n"/>
      <c r="I12" s="156" t="n"/>
      <c r="J12" s="156" t="n"/>
      <c r="K12" s="156" t="n"/>
      <c r="L12" s="156" t="n"/>
      <c r="M12" s="156" t="n"/>
      <c r="N12" s="156" t="n"/>
      <c r="O12" s="156" t="n"/>
      <c r="P12" s="156" t="n"/>
      <c r="Q12" s="156" t="n"/>
      <c r="R12" s="156" t="n"/>
      <c r="S12" s="156" t="n"/>
      <c r="T12" s="156" t="n"/>
      <c r="U12" s="156" t="n"/>
      <c r="V12" s="156" t="n"/>
      <c r="W12" s="156" t="n"/>
      <c r="X12" s="156" t="n"/>
      <c r="Y12" s="156" t="n"/>
      <c r="Z12" s="156" t="n"/>
      <c r="AA12" s="156" t="n"/>
      <c r="AB12" s="156" t="n"/>
      <c r="AC12" s="156" t="n"/>
      <c r="AD12" s="156" t="n"/>
      <c r="AE12" s="156" t="n"/>
      <c r="AF12" s="156" t="n"/>
    </row>
    <row r="13" ht="16.5" customHeight="1" s="534">
      <c r="B13" s="142" t="n"/>
      <c r="C13" s="155" t="n"/>
      <c r="D13" s="143" t="n"/>
      <c r="E13" s="143" t="n"/>
      <c r="F13" s="143" t="n"/>
      <c r="G13" s="143" t="n"/>
      <c r="H13" s="143" t="n"/>
      <c r="I13" s="143" t="n"/>
      <c r="J13" s="143" t="n"/>
      <c r="K13" s="143" t="n"/>
      <c r="L13" s="143" t="n"/>
      <c r="M13" s="143" t="n"/>
      <c r="N13" s="143" t="n"/>
      <c r="O13" s="143" t="n"/>
      <c r="P13" s="143" t="n"/>
      <c r="Q13" s="143" t="n"/>
      <c r="R13" s="143" t="n"/>
      <c r="S13" s="143" t="n"/>
      <c r="T13" s="143" t="n"/>
      <c r="U13" s="143" t="n"/>
      <c r="V13" s="143" t="n"/>
      <c r="W13" s="143" t="n"/>
      <c r="X13" s="143" t="n"/>
      <c r="Y13" s="143" t="n"/>
      <c r="Z13" s="143" t="n"/>
      <c r="AA13" s="143" t="n"/>
      <c r="AB13" s="143" t="n"/>
      <c r="AC13" s="143" t="n"/>
      <c r="AD13" s="143" t="n"/>
      <c r="AE13" s="143" t="n"/>
      <c r="AF13" s="143" t="n"/>
    </row>
    <row r="14" ht="16.5" customHeight="1" s="534">
      <c r="B14" s="142" t="n"/>
      <c r="C14" s="155" t="n"/>
      <c r="D14" s="143" t="n"/>
      <c r="E14" s="143" t="n"/>
      <c r="F14" s="143" t="n"/>
      <c r="G14" s="143" t="n"/>
      <c r="H14" s="143" t="n"/>
      <c r="I14" s="143" t="n"/>
      <c r="J14" s="143" t="n"/>
      <c r="K14" s="143" t="n"/>
      <c r="L14" s="143" t="n"/>
      <c r="M14" s="143" t="n"/>
      <c r="N14" s="143" t="n"/>
      <c r="O14" s="143" t="n"/>
      <c r="P14" s="143" t="n"/>
      <c r="Q14" s="143" t="n"/>
      <c r="R14" s="143" t="n"/>
      <c r="S14" s="143" t="n"/>
      <c r="T14" s="143" t="n"/>
      <c r="U14" s="143" t="n"/>
      <c r="V14" s="143" t="n"/>
      <c r="W14" s="143" t="n"/>
      <c r="X14" s="143" t="n"/>
      <c r="Y14" s="143" t="n"/>
      <c r="Z14" s="143" t="n"/>
      <c r="AA14" s="143" t="n"/>
      <c r="AB14" s="143" t="n"/>
      <c r="AC14" s="143" t="n"/>
      <c r="AD14" s="143" t="n"/>
      <c r="AE14" s="143" t="n"/>
      <c r="AF14" s="143" t="n"/>
    </row>
    <row r="15" ht="18" customHeight="1" s="534">
      <c r="B15" s="318" t="inlineStr">
        <is>
          <t>Year N Production</t>
        </is>
      </c>
      <c r="C15" s="318" t="n">
        <v>1</v>
      </c>
      <c r="D15" s="318" t="n">
        <v>2</v>
      </c>
      <c r="E15" s="318" t="n">
        <v>3</v>
      </c>
      <c r="F15" s="318" t="n">
        <v>4</v>
      </c>
      <c r="G15" s="318" t="n">
        <v>5</v>
      </c>
      <c r="H15" s="318" t="n">
        <v>6</v>
      </c>
      <c r="I15" s="318" t="n">
        <v>7</v>
      </c>
      <c r="J15" s="318" t="n">
        <v>8</v>
      </c>
      <c r="K15" s="318" t="n">
        <v>9</v>
      </c>
      <c r="L15" s="318" t="n">
        <v>10</v>
      </c>
      <c r="M15" s="318" t="n">
        <v>11</v>
      </c>
      <c r="N15" s="318" t="n">
        <v>12</v>
      </c>
      <c r="O15" s="318" t="n">
        <v>13</v>
      </c>
      <c r="P15" s="318" t="n">
        <v>14</v>
      </c>
      <c r="Q15" s="318" t="n">
        <v>15</v>
      </c>
      <c r="R15" s="318" t="n">
        <v>16</v>
      </c>
      <c r="S15" s="318" t="n">
        <v>17</v>
      </c>
      <c r="T15" s="318" t="n">
        <v>18</v>
      </c>
      <c r="U15" s="318" t="n">
        <v>19</v>
      </c>
      <c r="V15" s="318" t="n">
        <v>20</v>
      </c>
      <c r="W15" s="318" t="n">
        <v>21</v>
      </c>
      <c r="X15" s="318" t="n">
        <v>22</v>
      </c>
      <c r="Y15" s="318" t="n">
        <v>23</v>
      </c>
      <c r="Z15" s="318" t="n">
        <v>24</v>
      </c>
      <c r="AA15" s="318" t="n">
        <v>25</v>
      </c>
      <c r="AB15" s="318" t="n">
        <v>26</v>
      </c>
      <c r="AC15" s="318" t="n">
        <v>27</v>
      </c>
      <c r="AD15" s="318" t="n">
        <v>28</v>
      </c>
      <c r="AE15" s="318" t="n">
        <v>29</v>
      </c>
      <c r="AF15" s="318" t="n">
        <v>30</v>
      </c>
    </row>
    <row r="16" ht="16.5" customHeight="1" s="534" thickBot="1">
      <c r="A16" s="82" t="inlineStr">
        <is>
          <t>Block 2 — Section 45Y PTC Calculation</t>
        </is>
      </c>
      <c r="B16" s="82" t="n"/>
      <c r="C16" s="82" t="n"/>
      <c r="D16" s="82" t="n"/>
      <c r="E16" s="82" t="n"/>
      <c r="F16" s="82" t="n"/>
      <c r="G16" s="82" t="n"/>
      <c r="H16" s="82" t="n"/>
      <c r="I16" s="82" t="n"/>
      <c r="J16" s="82" t="n"/>
      <c r="K16" s="82" t="n"/>
      <c r="L16" s="82" t="n"/>
      <c r="M16" s="82" t="n"/>
      <c r="N16" s="82" t="n"/>
      <c r="O16" s="82" t="n"/>
      <c r="P16" s="82" t="n"/>
      <c r="Q16" s="82" t="n"/>
      <c r="R16" s="82" t="n"/>
      <c r="S16" s="82" t="n"/>
      <c r="T16" s="82" t="n"/>
      <c r="U16" s="82" t="n"/>
      <c r="V16" s="82" t="n"/>
      <c r="W16" s="82" t="n"/>
      <c r="X16" s="82" t="n"/>
      <c r="Y16" s="82" t="n"/>
      <c r="Z16" s="82" t="n"/>
      <c r="AA16" s="82" t="n"/>
      <c r="AB16" s="82" t="n"/>
      <c r="AC16" s="82" t="n"/>
      <c r="AD16" s="82" t="n"/>
      <c r="AE16" s="82" t="n"/>
      <c r="AF16" s="82" t="n"/>
    </row>
    <row r="17" ht="16.5" customFormat="1" customHeight="1" s="218">
      <c r="B17" s="251" t="inlineStr">
        <is>
          <t>Net Delivered Solar Production (MWh)</t>
        </is>
      </c>
      <c r="C17" s="543">
        <f>Energy!B9</f>
        <v/>
      </c>
      <c r="D17" s="543">
        <f>Energy!C9</f>
        <v/>
      </c>
      <c r="E17" s="543">
        <f>Energy!D9</f>
        <v/>
      </c>
      <c r="F17" s="543">
        <f>Energy!E9</f>
        <v/>
      </c>
      <c r="G17" s="543">
        <f>Energy!F9</f>
        <v/>
      </c>
      <c r="H17" s="543">
        <f>Energy!G9</f>
        <v/>
      </c>
      <c r="I17" s="543">
        <f>Energy!H9</f>
        <v/>
      </c>
      <c r="J17" s="543">
        <f>Energy!I9</f>
        <v/>
      </c>
      <c r="K17" s="543">
        <f>Energy!J9</f>
        <v/>
      </c>
      <c r="L17" s="543">
        <f>Energy!K9</f>
        <v/>
      </c>
      <c r="M17" s="543">
        <f>Energy!L9</f>
        <v/>
      </c>
      <c r="N17" s="543">
        <f>Energy!M9</f>
        <v/>
      </c>
      <c r="O17" s="543">
        <f>Energy!N9</f>
        <v/>
      </c>
      <c r="P17" s="543">
        <f>Energy!O9</f>
        <v/>
      </c>
      <c r="Q17" s="543">
        <f>Energy!P9</f>
        <v/>
      </c>
      <c r="R17" s="543">
        <f>Energy!Q9</f>
        <v/>
      </c>
      <c r="S17" s="543">
        <f>Energy!R9</f>
        <v/>
      </c>
      <c r="T17" s="543">
        <f>Energy!S9</f>
        <v/>
      </c>
      <c r="U17" s="543">
        <f>Energy!T9</f>
        <v/>
      </c>
      <c r="V17" s="543">
        <f>Energy!U9</f>
        <v/>
      </c>
      <c r="W17" s="543">
        <f>Energy!V9</f>
        <v/>
      </c>
      <c r="X17" s="543">
        <f>Energy!W9</f>
        <v/>
      </c>
      <c r="Y17" s="543">
        <f>Energy!X9</f>
        <v/>
      </c>
      <c r="Z17" s="543">
        <f>Energy!Y9</f>
        <v/>
      </c>
      <c r="AA17" s="543">
        <f>Energy!Z9</f>
        <v/>
      </c>
      <c r="AB17" s="543">
        <f>Energy!AA9</f>
        <v/>
      </c>
      <c r="AC17" s="543">
        <f>Energy!AB9</f>
        <v/>
      </c>
      <c r="AD17" s="543">
        <f>Energy!AC9</f>
        <v/>
      </c>
      <c r="AE17" s="543">
        <f>Energy!AD9</f>
        <v/>
      </c>
      <c r="AF17" s="543">
        <f>Energy!AE9</f>
        <v/>
      </c>
    </row>
    <row r="18" ht="16.5" customFormat="1" customHeight="1" s="218">
      <c r="B18" s="278" t="inlineStr">
        <is>
          <t>PTC Rate ($/MWh)</t>
        </is>
      </c>
      <c r="C18" s="270">
        <f>Inputs!$D$82</f>
        <v/>
      </c>
      <c r="D18" s="270">
        <f>Inputs!$D$82</f>
        <v/>
      </c>
      <c r="E18" s="270">
        <f>Inputs!$D$82</f>
        <v/>
      </c>
      <c r="F18" s="270">
        <f>Inputs!$D$82</f>
        <v/>
      </c>
      <c r="G18" s="270">
        <f>Inputs!$D$82</f>
        <v/>
      </c>
      <c r="H18" s="270">
        <f>Inputs!$D$82</f>
        <v/>
      </c>
      <c r="I18" s="270">
        <f>Inputs!$D$82</f>
        <v/>
      </c>
      <c r="J18" s="270">
        <f>Inputs!$D$82</f>
        <v/>
      </c>
      <c r="K18" s="270">
        <f>Inputs!$D$82</f>
        <v/>
      </c>
      <c r="L18" s="270">
        <f>Inputs!$D$82</f>
        <v/>
      </c>
      <c r="M18" s="270">
        <f>Inputs!$D$82</f>
        <v/>
      </c>
      <c r="N18" s="270">
        <f>Inputs!$D$82</f>
        <v/>
      </c>
      <c r="O18" s="270">
        <f>Inputs!$D$82</f>
        <v/>
      </c>
      <c r="P18" s="270">
        <f>Inputs!$D$82</f>
        <v/>
      </c>
      <c r="Q18" s="270">
        <f>Inputs!$D$82</f>
        <v/>
      </c>
      <c r="R18" s="270">
        <f>Inputs!$D$82</f>
        <v/>
      </c>
      <c r="S18" s="270">
        <f>Inputs!$D$82</f>
        <v/>
      </c>
      <c r="T18" s="270">
        <f>Inputs!$D$82</f>
        <v/>
      </c>
      <c r="U18" s="270">
        <f>Inputs!$D$82</f>
        <v/>
      </c>
      <c r="V18" s="270">
        <f>Inputs!$D$82</f>
        <v/>
      </c>
      <c r="W18" s="270">
        <f>Inputs!$D$82</f>
        <v/>
      </c>
      <c r="X18" s="270">
        <f>Inputs!$D$82</f>
        <v/>
      </c>
      <c r="Y18" s="270">
        <f>Inputs!$D$82</f>
        <v/>
      </c>
      <c r="Z18" s="270">
        <f>Inputs!$D$82</f>
        <v/>
      </c>
      <c r="AA18" s="270">
        <f>Inputs!$D$82</f>
        <v/>
      </c>
      <c r="AB18" s="270">
        <f>Inputs!$D$82</f>
        <v/>
      </c>
      <c r="AC18" s="270">
        <f>Inputs!$D$82</f>
        <v/>
      </c>
      <c r="AD18" s="270">
        <f>Inputs!$D$82</f>
        <v/>
      </c>
      <c r="AE18" s="270">
        <f>Inputs!$D$82</f>
        <v/>
      </c>
      <c r="AF18" s="270">
        <f>Inputs!$D$82</f>
        <v/>
      </c>
    </row>
    <row r="19" ht="16.5" customFormat="1" customHeight="1" s="218">
      <c r="B19" s="251" t="inlineStr">
        <is>
          <t>PTC Inflation Adjustment Factor</t>
        </is>
      </c>
      <c r="C19" s="560">
        <f>(1+Inputs!$D$84)^(Tax!C15-1)</f>
        <v/>
      </c>
      <c r="D19" s="560">
        <f>(1+Inputs!$D$84)^(Tax!D15-1)</f>
        <v/>
      </c>
      <c r="E19" s="560">
        <f>(1+Inputs!$D$84)^(Tax!E15-1)</f>
        <v/>
      </c>
      <c r="F19" s="560">
        <f>(1+Inputs!$D$84)^(Tax!F15-1)</f>
        <v/>
      </c>
      <c r="G19" s="560">
        <f>(1+Inputs!$D$84)^(Tax!G15-1)</f>
        <v/>
      </c>
      <c r="H19" s="560">
        <f>(1+Inputs!$D$84)^(Tax!H15-1)</f>
        <v/>
      </c>
      <c r="I19" s="560">
        <f>(1+Inputs!$D$84)^(Tax!I15-1)</f>
        <v/>
      </c>
      <c r="J19" s="560">
        <f>(1+Inputs!$D$84)^(Tax!J15-1)</f>
        <v/>
      </c>
      <c r="K19" s="560">
        <f>(1+Inputs!$D$84)^(Tax!K15-1)</f>
        <v/>
      </c>
      <c r="L19" s="560">
        <f>(1+Inputs!$D$84)^(Tax!L15-1)</f>
        <v/>
      </c>
      <c r="M19" s="560">
        <f>(1+Inputs!$D$84)^(Tax!M15-1)</f>
        <v/>
      </c>
      <c r="N19" s="560">
        <f>(1+Inputs!$D$84)^(Tax!N15-1)</f>
        <v/>
      </c>
      <c r="O19" s="560">
        <f>(1+Inputs!$D$84)^(Tax!O15-1)</f>
        <v/>
      </c>
      <c r="P19" s="560">
        <f>(1+Inputs!$D$84)^(Tax!P15-1)</f>
        <v/>
      </c>
      <c r="Q19" s="560">
        <f>(1+Inputs!$D$84)^(Tax!Q15-1)</f>
        <v/>
      </c>
      <c r="R19" s="560">
        <f>(1+Inputs!$D$84)^(Tax!R15-1)</f>
        <v/>
      </c>
      <c r="S19" s="560">
        <f>(1+Inputs!$D$84)^(Tax!S15-1)</f>
        <v/>
      </c>
      <c r="T19" s="560">
        <f>(1+Inputs!$D$84)^(Tax!T15-1)</f>
        <v/>
      </c>
      <c r="U19" s="560">
        <f>(1+Inputs!$D$84)^(Tax!U15-1)</f>
        <v/>
      </c>
      <c r="V19" s="560">
        <f>(1+Inputs!$D$84)^(Tax!V15-1)</f>
        <v/>
      </c>
      <c r="W19" s="560">
        <f>(1+Inputs!$D$84)^(Tax!W15-1)</f>
        <v/>
      </c>
      <c r="X19" s="560">
        <f>(1+Inputs!$D$84)^(Tax!X15-1)</f>
        <v/>
      </c>
      <c r="Y19" s="560">
        <f>(1+Inputs!$D$84)^(Tax!Y15-1)</f>
        <v/>
      </c>
      <c r="Z19" s="560">
        <f>(1+Inputs!$D$84)^(Tax!Z15-1)</f>
        <v/>
      </c>
      <c r="AA19" s="560">
        <f>(1+Inputs!$D$84)^(Tax!AA15-1)</f>
        <v/>
      </c>
      <c r="AB19" s="560">
        <f>(1+Inputs!$D$84)^(Tax!AB15-1)</f>
        <v/>
      </c>
      <c r="AC19" s="560">
        <f>(1+Inputs!$D$84)^(Tax!AC15-1)</f>
        <v/>
      </c>
      <c r="AD19" s="560">
        <f>(1+Inputs!$D$84)^(Tax!AD15-1)</f>
        <v/>
      </c>
      <c r="AE19" s="560">
        <f>(1+Inputs!$D$84)^(Tax!AE15-1)</f>
        <v/>
      </c>
      <c r="AF19" s="560">
        <f>(1+Inputs!$D$84)^(Tax!AF15-1)</f>
        <v/>
      </c>
    </row>
    <row r="20" ht="16.5" customFormat="1" customHeight="1" s="218">
      <c r="B20" s="278" t="inlineStr">
        <is>
          <t>PTC Rate — Inflation Adjusted ($/MWh)</t>
        </is>
      </c>
      <c r="C20" s="270">
        <f>C18*C19</f>
        <v/>
      </c>
      <c r="D20" s="270">
        <f>D18*D19</f>
        <v/>
      </c>
      <c r="E20" s="270">
        <f>E18*E19</f>
        <v/>
      </c>
      <c r="F20" s="270">
        <f>F18*F19</f>
        <v/>
      </c>
      <c r="G20" s="270">
        <f>G18*G19</f>
        <v/>
      </c>
      <c r="H20" s="270">
        <f>H18*H19</f>
        <v/>
      </c>
      <c r="I20" s="270">
        <f>I18*I19</f>
        <v/>
      </c>
      <c r="J20" s="270">
        <f>J18*J19</f>
        <v/>
      </c>
      <c r="K20" s="270">
        <f>K18*K19</f>
        <v/>
      </c>
      <c r="L20" s="270">
        <f>L18*L19</f>
        <v/>
      </c>
      <c r="M20" s="270">
        <f>M18*M19</f>
        <v/>
      </c>
      <c r="N20" s="270">
        <f>N18*N19</f>
        <v/>
      </c>
      <c r="O20" s="270">
        <f>O18*O19</f>
        <v/>
      </c>
      <c r="P20" s="270">
        <f>P18*P19</f>
        <v/>
      </c>
      <c r="Q20" s="270">
        <f>Q18*Q19</f>
        <v/>
      </c>
      <c r="R20" s="270">
        <f>R18*R19</f>
        <v/>
      </c>
      <c r="S20" s="270">
        <f>S18*S19</f>
        <v/>
      </c>
      <c r="T20" s="270">
        <f>T18*T19</f>
        <v/>
      </c>
      <c r="U20" s="270">
        <f>U18*U19</f>
        <v/>
      </c>
      <c r="V20" s="270">
        <f>V18*V19</f>
        <v/>
      </c>
      <c r="W20" s="270">
        <f>W18*W19</f>
        <v/>
      </c>
      <c r="X20" s="270">
        <f>X18*X19</f>
        <v/>
      </c>
      <c r="Y20" s="270">
        <f>Y18*Y19</f>
        <v/>
      </c>
      <c r="Z20" s="270">
        <f>Z18*Z19</f>
        <v/>
      </c>
      <c r="AA20" s="270">
        <f>AA18*AA19</f>
        <v/>
      </c>
      <c r="AB20" s="270">
        <f>AB18*AB19</f>
        <v/>
      </c>
      <c r="AC20" s="270">
        <f>AC18*AC19</f>
        <v/>
      </c>
      <c r="AD20" s="270">
        <f>AD18*AD19</f>
        <v/>
      </c>
      <c r="AE20" s="270">
        <f>AE18*AE19</f>
        <v/>
      </c>
      <c r="AF20" s="270">
        <f>AF18*AF19</f>
        <v/>
      </c>
    </row>
    <row r="21" ht="16.5" customFormat="1" customHeight="1" s="218">
      <c r="B21" s="251" t="inlineStr">
        <is>
          <t>PTC Credit Period Flag</t>
        </is>
      </c>
      <c r="C21" s="262">
        <f>IF(C15&lt;=10,"Active","Expired")</f>
        <v/>
      </c>
      <c r="D21" s="262">
        <f>IF(D15&lt;=10,"Active","Expired")</f>
        <v/>
      </c>
      <c r="E21" s="262">
        <f>IF(E15&lt;=10,"Active","Expired")</f>
        <v/>
      </c>
      <c r="F21" s="262">
        <f>IF(F15&lt;=10,"Active","Expired")</f>
        <v/>
      </c>
      <c r="G21" s="262">
        <f>IF(G15&lt;=10,"Active","Expired")</f>
        <v/>
      </c>
      <c r="H21" s="262">
        <f>IF(H15&lt;=10,"Active","Expired")</f>
        <v/>
      </c>
      <c r="I21" s="262">
        <f>IF(I15&lt;=10,"Active","Expired")</f>
        <v/>
      </c>
      <c r="J21" s="262">
        <f>IF(J15&lt;=10,"Active","Expired")</f>
        <v/>
      </c>
      <c r="K21" s="262">
        <f>IF(K15&lt;=10,"Active","Expired")</f>
        <v/>
      </c>
      <c r="L21" s="262">
        <f>IF(L15&lt;=10,"Active","Expired")</f>
        <v/>
      </c>
      <c r="M21" s="262">
        <f>IF(M15&lt;=10,"Active","Expired")</f>
        <v/>
      </c>
      <c r="N21" s="262">
        <f>IF(N15&lt;=10,"Active","Expired")</f>
        <v/>
      </c>
      <c r="O21" s="262">
        <f>IF(O15&lt;=10,"Active","Expired")</f>
        <v/>
      </c>
      <c r="P21" s="262">
        <f>IF(P15&lt;=10,"Active","Expired")</f>
        <v/>
      </c>
      <c r="Q21" s="262">
        <f>IF(Q15&lt;=10,"Active","Expired")</f>
        <v/>
      </c>
      <c r="R21" s="262">
        <f>IF(R15&lt;=10,"Active","Expired")</f>
        <v/>
      </c>
      <c r="S21" s="262">
        <f>IF(S15&lt;=10,"Active","Expired")</f>
        <v/>
      </c>
      <c r="T21" s="262">
        <f>IF(T15&lt;=10,"Active","Expired")</f>
        <v/>
      </c>
      <c r="U21" s="262">
        <f>IF(U15&lt;=10,"Active","Expired")</f>
        <v/>
      </c>
      <c r="V21" s="262">
        <f>IF(V15&lt;=10,"Active","Expired")</f>
        <v/>
      </c>
      <c r="W21" s="262">
        <f>IF(W15&lt;=10,"Active","Expired")</f>
        <v/>
      </c>
      <c r="X21" s="262">
        <f>IF(X15&lt;=10,"Active","Expired")</f>
        <v/>
      </c>
      <c r="Y21" s="262">
        <f>IF(Y15&lt;=10,"Active","Expired")</f>
        <v/>
      </c>
      <c r="Z21" s="262">
        <f>IF(Z15&lt;=10,"Active","Expired")</f>
        <v/>
      </c>
      <c r="AA21" s="262">
        <f>IF(AA15&lt;=10,"Active","Expired")</f>
        <v/>
      </c>
      <c r="AB21" s="262">
        <f>IF(AB15&lt;=10,"Active","Expired")</f>
        <v/>
      </c>
      <c r="AC21" s="262">
        <f>IF(AC15&lt;=10,"Active","Expired")</f>
        <v/>
      </c>
      <c r="AD21" s="262">
        <f>IF(AD15&lt;=10,"Active","Expired")</f>
        <v/>
      </c>
      <c r="AE21" s="262">
        <f>IF(AE15&lt;=10,"Active","Expired")</f>
        <v/>
      </c>
      <c r="AF21" s="262">
        <f>IF(AF15&lt;=10,"Active","Expired")</f>
        <v/>
      </c>
    </row>
    <row r="22" ht="16.5" customFormat="1" customHeight="1" s="218">
      <c r="B22" s="278" t="inlineStr">
        <is>
          <t>Annual PTC Value ($)</t>
        </is>
      </c>
      <c r="C22" s="279">
        <f>IF(C15&lt;=10,C17*C20,0)</f>
        <v/>
      </c>
      <c r="D22" s="279">
        <f>IF(D15&lt;=10,D17*D20,0)</f>
        <v/>
      </c>
      <c r="E22" s="279">
        <f>IF(E15&lt;=10,E17*E20,0)</f>
        <v/>
      </c>
      <c r="F22" s="279">
        <f>IF(F15&lt;=10,F17*F20,0)</f>
        <v/>
      </c>
      <c r="G22" s="279">
        <f>IF(G15&lt;=10,G17*G20,0)</f>
        <v/>
      </c>
      <c r="H22" s="279">
        <f>IF(H15&lt;=10,H17*H20,0)</f>
        <v/>
      </c>
      <c r="I22" s="279">
        <f>IF(I15&lt;=10,I17*I20,0)</f>
        <v/>
      </c>
      <c r="J22" s="279">
        <f>IF(J15&lt;=10,J17*J20,0)</f>
        <v/>
      </c>
      <c r="K22" s="279">
        <f>IF(K15&lt;=10,K17*K20,0)</f>
        <v/>
      </c>
      <c r="L22" s="279">
        <f>IF(L15&lt;=10,L17*L20,0)</f>
        <v/>
      </c>
      <c r="M22" s="279">
        <f>IF(M15&lt;=10,M17*M20,0)</f>
        <v/>
      </c>
      <c r="N22" s="279">
        <f>IF(N15&lt;=10,N17*N20,0)</f>
        <v/>
      </c>
      <c r="O22" s="279">
        <f>IF(O15&lt;=10,O17*O20,0)</f>
        <v/>
      </c>
      <c r="P22" s="279">
        <f>IF(P15&lt;=10,P17*P20,0)</f>
        <v/>
      </c>
      <c r="Q22" s="279">
        <f>IF(Q15&lt;=10,Q17*Q20,0)</f>
        <v/>
      </c>
      <c r="R22" s="279">
        <f>IF(R15&lt;=10,R17*R20,0)</f>
        <v/>
      </c>
      <c r="S22" s="279">
        <f>IF(S15&lt;=10,S17*S20,0)</f>
        <v/>
      </c>
      <c r="T22" s="279">
        <f>IF(T15&lt;=10,T17*T20,0)</f>
        <v/>
      </c>
      <c r="U22" s="279">
        <f>IF(U15&lt;=10,U17*U20,0)</f>
        <v/>
      </c>
      <c r="V22" s="279">
        <f>IF(V15&lt;=10,V17*V20,0)</f>
        <v/>
      </c>
      <c r="W22" s="279">
        <f>IF(W15&lt;=10,W17*W20,0)</f>
        <v/>
      </c>
      <c r="X22" s="279">
        <f>IF(X15&lt;=10,X17*X20,0)</f>
        <v/>
      </c>
      <c r="Y22" s="279">
        <f>IF(Y15&lt;=10,Y17*Y20,0)</f>
        <v/>
      </c>
      <c r="Z22" s="279">
        <f>IF(Z15&lt;=10,Z17*Z20,0)</f>
        <v/>
      </c>
      <c r="AA22" s="279">
        <f>IF(AA15&lt;=10,AA17*AA20,0)</f>
        <v/>
      </c>
      <c r="AB22" s="279">
        <f>IF(AB15&lt;=10,AB17*AB20,0)</f>
        <v/>
      </c>
      <c r="AC22" s="279">
        <f>IF(AC15&lt;=10,AC17*AC20,0)</f>
        <v/>
      </c>
      <c r="AD22" s="279">
        <f>IF(AD15&lt;=10,AD17*AD20,0)</f>
        <v/>
      </c>
      <c r="AE22" s="279">
        <f>IF(AE15&lt;=10,AE17*AE20,0)</f>
        <v/>
      </c>
      <c r="AF22" s="279">
        <f>IF(AF15&lt;=10,AF17*AF20,0)</f>
        <v/>
      </c>
    </row>
    <row r="23" ht="16.5" customFormat="1" customHeight="1" s="218">
      <c r="B23" s="251" t="inlineStr">
        <is>
          <t>PTC Transfer Price (¢/$)</t>
        </is>
      </c>
      <c r="C23" s="331">
        <f>Inputs!$D$83</f>
        <v/>
      </c>
      <c r="D23" s="331">
        <f>Inputs!$D$83</f>
        <v/>
      </c>
      <c r="E23" s="331">
        <f>Inputs!$D$83</f>
        <v/>
      </c>
      <c r="F23" s="331">
        <f>Inputs!$D$83</f>
        <v/>
      </c>
      <c r="G23" s="331">
        <f>Inputs!$D$83</f>
        <v/>
      </c>
      <c r="H23" s="331">
        <f>Inputs!$D$83</f>
        <v/>
      </c>
      <c r="I23" s="331">
        <f>Inputs!$D$83</f>
        <v/>
      </c>
      <c r="J23" s="331">
        <f>Inputs!$D$83</f>
        <v/>
      </c>
      <c r="K23" s="331">
        <f>Inputs!$D$83</f>
        <v/>
      </c>
      <c r="L23" s="331">
        <f>Inputs!$D$83</f>
        <v/>
      </c>
      <c r="M23" s="331">
        <f>Inputs!$D$83</f>
        <v/>
      </c>
      <c r="N23" s="331">
        <f>Inputs!$D$83</f>
        <v/>
      </c>
      <c r="O23" s="331">
        <f>Inputs!$D$83</f>
        <v/>
      </c>
      <c r="P23" s="331">
        <f>Inputs!$D$83</f>
        <v/>
      </c>
      <c r="Q23" s="331">
        <f>Inputs!$D$83</f>
        <v/>
      </c>
      <c r="R23" s="331">
        <f>Inputs!$D$83</f>
        <v/>
      </c>
      <c r="S23" s="331">
        <f>Inputs!$D$83</f>
        <v/>
      </c>
      <c r="T23" s="331">
        <f>Inputs!$D$83</f>
        <v/>
      </c>
      <c r="U23" s="331">
        <f>Inputs!$D$83</f>
        <v/>
      </c>
      <c r="V23" s="331">
        <f>Inputs!$D$83</f>
        <v/>
      </c>
      <c r="W23" s="331">
        <f>Inputs!$D$83</f>
        <v/>
      </c>
      <c r="X23" s="331">
        <f>Inputs!$D$83</f>
        <v/>
      </c>
      <c r="Y23" s="331">
        <f>Inputs!$D$83</f>
        <v/>
      </c>
      <c r="Z23" s="331">
        <f>Inputs!$D$83</f>
        <v/>
      </c>
      <c r="AA23" s="331">
        <f>Inputs!$D$83</f>
        <v/>
      </c>
      <c r="AB23" s="331">
        <f>Inputs!$D$83</f>
        <v/>
      </c>
      <c r="AC23" s="331">
        <f>Inputs!$D$83</f>
        <v/>
      </c>
      <c r="AD23" s="331">
        <f>Inputs!$D$83</f>
        <v/>
      </c>
      <c r="AE23" s="331">
        <f>Inputs!$D$83</f>
        <v/>
      </c>
      <c r="AF23" s="331">
        <f>Inputs!$D$83</f>
        <v/>
      </c>
    </row>
    <row r="24" ht="18" customFormat="1" customHeight="1" s="218">
      <c r="B24" s="259" t="inlineStr">
        <is>
          <t>Annual PTC Cash Proceeds ($)</t>
        </is>
      </c>
      <c r="C24" s="308">
        <f>C22*C23</f>
        <v/>
      </c>
      <c r="D24" s="308">
        <f>D22*D23</f>
        <v/>
      </c>
      <c r="E24" s="308">
        <f>E22*E23</f>
        <v/>
      </c>
      <c r="F24" s="308">
        <f>F22*F23</f>
        <v/>
      </c>
      <c r="G24" s="308">
        <f>G22*G23</f>
        <v/>
      </c>
      <c r="H24" s="308">
        <f>H22*H23</f>
        <v/>
      </c>
      <c r="I24" s="308">
        <f>I22*I23</f>
        <v/>
      </c>
      <c r="J24" s="308">
        <f>J22*J23</f>
        <v/>
      </c>
      <c r="K24" s="308">
        <f>K22*K23</f>
        <v/>
      </c>
      <c r="L24" s="308">
        <f>L22*L23</f>
        <v/>
      </c>
      <c r="M24" s="308">
        <f>M22*M23</f>
        <v/>
      </c>
      <c r="N24" s="308">
        <f>N22*N23</f>
        <v/>
      </c>
      <c r="O24" s="308">
        <f>O22*O23</f>
        <v/>
      </c>
      <c r="P24" s="308">
        <f>P22*P23</f>
        <v/>
      </c>
      <c r="Q24" s="308">
        <f>Q22*Q23</f>
        <v/>
      </c>
      <c r="R24" s="308">
        <f>R22*R23</f>
        <v/>
      </c>
      <c r="S24" s="308">
        <f>S22*S23</f>
        <v/>
      </c>
      <c r="T24" s="308">
        <f>T22*T23</f>
        <v/>
      </c>
      <c r="U24" s="308">
        <f>U22*U23</f>
        <v/>
      </c>
      <c r="V24" s="308">
        <f>V22*V23</f>
        <v/>
      </c>
      <c r="W24" s="308">
        <f>W22*W23</f>
        <v/>
      </c>
      <c r="X24" s="308">
        <f>X22*X23</f>
        <v/>
      </c>
      <c r="Y24" s="308">
        <f>Y22*Y23</f>
        <v/>
      </c>
      <c r="Z24" s="308">
        <f>Z22*Z23</f>
        <v/>
      </c>
      <c r="AA24" s="308">
        <f>AA22*AA23</f>
        <v/>
      </c>
      <c r="AB24" s="308">
        <f>AB22*AB23</f>
        <v/>
      </c>
      <c r="AC24" s="308">
        <f>AC22*AC23</f>
        <v/>
      </c>
      <c r="AD24" s="308">
        <f>AD22*AD23</f>
        <v/>
      </c>
      <c r="AE24" s="308">
        <f>AE22*AE23</f>
        <v/>
      </c>
      <c r="AF24" s="308">
        <f>AF22*AF23</f>
        <v/>
      </c>
    </row>
    <row r="25" ht="16.5" customHeight="1" s="534">
      <c r="B25" s="142" t="n"/>
      <c r="C25" s="143" t="n"/>
      <c r="D25" s="143" t="n"/>
      <c r="E25" s="143" t="n"/>
      <c r="F25" s="143" t="n"/>
      <c r="G25" s="143" t="n"/>
      <c r="H25" s="143" t="n"/>
      <c r="I25" s="143" t="n"/>
      <c r="J25" s="143" t="n"/>
      <c r="K25" s="143" t="n"/>
      <c r="L25" s="143" t="n"/>
      <c r="M25" s="143" t="n"/>
      <c r="N25" s="143" t="n"/>
      <c r="O25" s="143" t="n"/>
      <c r="P25" s="143" t="n"/>
      <c r="Q25" s="143" t="n"/>
      <c r="R25" s="143" t="n"/>
      <c r="S25" s="143" t="n"/>
      <c r="T25" s="143" t="n"/>
      <c r="U25" s="143" t="n"/>
      <c r="V25" s="143" t="n"/>
      <c r="W25" s="143" t="n"/>
      <c r="X25" s="143" t="n"/>
      <c r="Y25" s="143" t="n"/>
      <c r="Z25" s="143" t="n"/>
      <c r="AA25" s="143" t="n"/>
      <c r="AB25" s="143" t="n"/>
      <c r="AC25" s="143" t="n"/>
      <c r="AD25" s="143" t="n"/>
      <c r="AE25" s="143" t="n"/>
      <c r="AF25" s="143" t="n"/>
    </row>
    <row r="26" ht="16.5" customHeight="1" s="534">
      <c r="B26" s="142" t="n"/>
      <c r="C26" s="143" t="n"/>
      <c r="D26" s="143" t="n"/>
      <c r="E26" s="143" t="n"/>
      <c r="F26" s="143" t="n"/>
      <c r="G26" s="143" t="n"/>
      <c r="H26" s="143" t="n"/>
      <c r="I26" s="143" t="n"/>
      <c r="J26" s="143" t="n"/>
      <c r="K26" s="143" t="n"/>
      <c r="L26" s="143" t="n"/>
      <c r="M26" s="143" t="n"/>
      <c r="N26" s="143" t="n"/>
      <c r="O26" s="143" t="n"/>
      <c r="P26" s="143" t="n"/>
      <c r="Q26" s="143" t="n"/>
      <c r="R26" s="143" t="n"/>
      <c r="S26" s="143" t="n"/>
      <c r="T26" s="143" t="n"/>
      <c r="U26" s="143" t="n"/>
      <c r="V26" s="143" t="n"/>
      <c r="W26" s="143" t="n"/>
      <c r="X26" s="143" t="n"/>
      <c r="Y26" s="143" t="n"/>
      <c r="Z26" s="143" t="n"/>
      <c r="AA26" s="143" t="n"/>
      <c r="AB26" s="143" t="n"/>
      <c r="AC26" s="143" t="n"/>
      <c r="AD26" s="143" t="n"/>
      <c r="AE26" s="143" t="n"/>
      <c r="AF26" s="143" t="n"/>
    </row>
    <row r="27" ht="16.5" customHeight="1" s="534" thickBot="1">
      <c r="A27" s="82" t="inlineStr">
        <is>
          <t>Block 3a — ITC MACRS Depreciation Schedule</t>
        </is>
      </c>
      <c r="B27" s="530" t="n"/>
      <c r="C27" s="530" t="n"/>
      <c r="D27" s="530" t="n"/>
      <c r="E27" s="530" t="n"/>
      <c r="F27" s="530" t="n"/>
      <c r="G27" s="530" t="n"/>
      <c r="H27" s="530" t="n"/>
      <c r="I27" s="143" t="n"/>
      <c r="J27" s="143" t="n"/>
      <c r="K27" s="143" t="n"/>
      <c r="L27" s="143" t="n"/>
      <c r="M27" s="143" t="n"/>
      <c r="N27" s="143" t="n"/>
      <c r="O27" s="143" t="n"/>
      <c r="P27" s="143" t="n"/>
      <c r="Q27" s="143" t="n"/>
      <c r="R27" s="143" t="n"/>
      <c r="S27" s="143" t="n"/>
      <c r="T27" s="143" t="n"/>
      <c r="U27" s="143" t="n"/>
      <c r="V27" s="143" t="n"/>
      <c r="W27" s="143" t="n"/>
      <c r="X27" s="143" t="n"/>
      <c r="Y27" s="143" t="n"/>
      <c r="Z27" s="143" t="n"/>
      <c r="AA27" s="143" t="n"/>
      <c r="AB27" s="143" t="n"/>
      <c r="AC27" s="143" t="n"/>
      <c r="AD27" s="143" t="n"/>
      <c r="AE27" s="143" t="n"/>
      <c r="AF27" s="143" t="n"/>
    </row>
    <row r="28" ht="18" customHeight="1" s="534">
      <c r="B28" s="335" t="inlineStr">
        <is>
          <t>ITC Depreciable Basis ($)</t>
        </is>
      </c>
      <c r="C28" s="196">
        <f>$C$12</f>
        <v/>
      </c>
      <c r="D28" s="196">
        <f>$C$12</f>
        <v/>
      </c>
      <c r="E28" s="196">
        <f>$C$12</f>
        <v/>
      </c>
      <c r="F28" s="196">
        <f>$C$12</f>
        <v/>
      </c>
      <c r="G28" s="196">
        <f>$C$12</f>
        <v/>
      </c>
      <c r="H28" s="197">
        <f>$C$12</f>
        <v/>
      </c>
      <c r="I28" s="156" t="n"/>
      <c r="J28" s="156" t="n"/>
      <c r="K28" s="156" t="n"/>
      <c r="L28" s="156" t="n"/>
      <c r="M28" s="156" t="n"/>
      <c r="N28" s="156" t="n"/>
      <c r="O28" s="156" t="n"/>
      <c r="P28" s="156" t="n"/>
      <c r="Q28" s="156" t="n"/>
      <c r="R28" s="156" t="n"/>
      <c r="S28" s="156" t="n"/>
      <c r="T28" s="156" t="n"/>
      <c r="U28" s="156" t="n"/>
      <c r="V28" s="156" t="n"/>
      <c r="W28" s="156" t="n"/>
      <c r="X28" s="156" t="n"/>
      <c r="Y28" s="156" t="n"/>
      <c r="Z28" s="156" t="n"/>
      <c r="AA28" s="156" t="n"/>
      <c r="AB28" s="156" t="n"/>
      <c r="AC28" s="156" t="n"/>
      <c r="AD28" s="156" t="n"/>
      <c r="AE28" s="156" t="n"/>
      <c r="AF28" s="156" t="n"/>
    </row>
    <row r="29" ht="16.5" customHeight="1" s="534">
      <c r="B29" s="332" t="inlineStr">
        <is>
          <t>MACRS % — Year N</t>
        </is>
      </c>
      <c r="C29" s="113">
        <f>Inputs!$D$92</f>
        <v/>
      </c>
      <c r="D29" s="113">
        <f>Inputs!D93</f>
        <v/>
      </c>
      <c r="E29" s="113">
        <f>Inputs!D94</f>
        <v/>
      </c>
      <c r="F29" s="113">
        <f>Inputs!D95</f>
        <v/>
      </c>
      <c r="G29" s="113">
        <f>Inputs!D96</f>
        <v/>
      </c>
      <c r="H29" s="184">
        <f>Inputs!D97</f>
        <v/>
      </c>
      <c r="I29" s="143" t="n"/>
      <c r="J29" s="143" t="n"/>
      <c r="K29" s="143" t="n"/>
      <c r="L29" s="143" t="n"/>
      <c r="M29" s="143" t="n"/>
      <c r="N29" s="143" t="n"/>
      <c r="O29" s="143" t="n"/>
      <c r="P29" s="143" t="n"/>
      <c r="Q29" s="143" t="n"/>
      <c r="R29" s="143" t="n"/>
      <c r="S29" s="143" t="n"/>
      <c r="T29" s="143" t="n"/>
      <c r="U29" s="143" t="n"/>
      <c r="V29" s="143" t="n"/>
      <c r="W29" s="143" t="n"/>
      <c r="X29" s="143" t="n"/>
      <c r="Y29" s="143" t="n"/>
      <c r="Z29" s="143" t="n"/>
      <c r="AA29" s="143" t="n"/>
      <c r="AB29" s="143" t="n"/>
      <c r="AC29" s="143" t="n"/>
      <c r="AD29" s="143" t="n"/>
      <c r="AE29" s="143" t="n"/>
      <c r="AF29" s="143" t="n"/>
    </row>
    <row r="30" ht="16.5" customHeight="1" s="534">
      <c r="B30" s="333" t="inlineStr">
        <is>
          <t>ITC Annual Depreciation ($)</t>
        </is>
      </c>
      <c r="C30" s="194">
        <f>C28*C29</f>
        <v/>
      </c>
      <c r="D30" s="194">
        <f>D28*D29</f>
        <v/>
      </c>
      <c r="E30" s="194">
        <f>E28*E29</f>
        <v/>
      </c>
      <c r="F30" s="194">
        <f>F28*F29</f>
        <v/>
      </c>
      <c r="G30" s="194">
        <f>G28*G29</f>
        <v/>
      </c>
      <c r="H30" s="195">
        <f>H28*H29</f>
        <v/>
      </c>
      <c r="I30" s="143" t="n"/>
      <c r="J30" s="143" t="n"/>
      <c r="K30" s="143" t="n"/>
      <c r="L30" s="143" t="n"/>
      <c r="M30" s="143" t="n"/>
      <c r="N30" s="143" t="n"/>
      <c r="O30" s="143" t="n"/>
      <c r="P30" s="143" t="n"/>
      <c r="Q30" s="143" t="n"/>
      <c r="R30" s="143" t="n"/>
      <c r="S30" s="143" t="n"/>
      <c r="T30" s="143" t="n"/>
      <c r="U30" s="143" t="n"/>
      <c r="V30" s="143" t="n"/>
      <c r="W30" s="143" t="n"/>
      <c r="X30" s="143" t="n"/>
      <c r="Y30" s="143" t="n"/>
      <c r="Z30" s="143" t="n"/>
      <c r="AA30" s="143" t="n"/>
      <c r="AB30" s="143" t="n"/>
      <c r="AC30" s="143" t="n"/>
      <c r="AD30" s="143" t="n"/>
      <c r="AE30" s="143" t="n"/>
      <c r="AF30" s="143" t="n"/>
    </row>
    <row r="31" ht="16.5" customHeight="1" s="534">
      <c r="B31" s="332" t="inlineStr">
        <is>
          <t>ITC Cumulative Depreciation ($)</t>
        </is>
      </c>
      <c r="C31" s="116">
        <f>C30</f>
        <v/>
      </c>
      <c r="D31" s="116">
        <f>C31+D30</f>
        <v/>
      </c>
      <c r="E31" s="116">
        <f>D31+E30</f>
        <v/>
      </c>
      <c r="F31" s="116">
        <f>E31+F30</f>
        <v/>
      </c>
      <c r="G31" s="116">
        <f>F31+G30</f>
        <v/>
      </c>
      <c r="H31" s="185">
        <f>G31+H30</f>
        <v/>
      </c>
      <c r="I31" s="143" t="n"/>
      <c r="J31" s="143" t="n"/>
      <c r="K31" s="143" t="n"/>
      <c r="L31" s="143" t="n"/>
      <c r="M31" s="143" t="n"/>
      <c r="N31" s="143" t="n"/>
      <c r="O31" s="143" t="n"/>
      <c r="P31" s="143" t="n"/>
      <c r="Q31" s="143" t="n"/>
      <c r="R31" s="143" t="n"/>
      <c r="S31" s="143" t="n"/>
      <c r="T31" s="143" t="n"/>
      <c r="U31" s="143" t="n"/>
      <c r="V31" s="143" t="n"/>
      <c r="W31" s="143" t="n"/>
      <c r="X31" s="143" t="n"/>
      <c r="Y31" s="143" t="n"/>
      <c r="Z31" s="143" t="n"/>
      <c r="AA31" s="143" t="n"/>
      <c r="AB31" s="143" t="n"/>
      <c r="AC31" s="143" t="n"/>
      <c r="AD31" s="143" t="n"/>
      <c r="AE31" s="143" t="n"/>
      <c r="AF31" s="143" t="n"/>
    </row>
    <row r="32" ht="16.5" customHeight="1" s="534">
      <c r="B32" s="333" t="inlineStr">
        <is>
          <t>ITC Depreciation Tax Shield ($)</t>
        </is>
      </c>
      <c r="C32" s="194">
        <f>C30*Inputs!$D$89</f>
        <v/>
      </c>
      <c r="D32" s="194">
        <f>D30*Inputs!$D$89</f>
        <v/>
      </c>
      <c r="E32" s="194">
        <f>E30*Inputs!$D$89</f>
        <v/>
      </c>
      <c r="F32" s="194">
        <f>F30*Inputs!$D$89</f>
        <v/>
      </c>
      <c r="G32" s="194">
        <f>G30*Inputs!$D$89</f>
        <v/>
      </c>
      <c r="H32" s="195">
        <f>H30*Inputs!$D$89</f>
        <v/>
      </c>
      <c r="I32" s="143" t="n"/>
      <c r="J32" s="143" t="n"/>
      <c r="K32" s="143" t="n"/>
      <c r="L32" s="143" t="n"/>
      <c r="M32" s="143" t="n"/>
      <c r="N32" s="143" t="n"/>
      <c r="O32" s="143" t="n"/>
      <c r="P32" s="143" t="n"/>
      <c r="Q32" s="143" t="n"/>
      <c r="R32" s="143" t="n"/>
      <c r="S32" s="143" t="n"/>
      <c r="T32" s="143" t="n"/>
      <c r="U32" s="143" t="n"/>
      <c r="V32" s="143" t="n"/>
      <c r="W32" s="143" t="n"/>
      <c r="X32" s="143" t="n"/>
      <c r="Y32" s="143" t="n"/>
      <c r="Z32" s="143" t="n"/>
      <c r="AA32" s="143" t="n"/>
      <c r="AB32" s="143" t="n"/>
      <c r="AC32" s="143" t="n"/>
      <c r="AD32" s="143" t="n"/>
      <c r="AE32" s="143" t="n"/>
      <c r="AF32" s="143" t="n"/>
    </row>
    <row r="33" ht="16.5" customHeight="1" s="534">
      <c r="B33" s="334" t="inlineStr">
        <is>
          <t>Check: Fully Depreciated</t>
        </is>
      </c>
      <c r="C33" s="186">
        <f>C31-C28</f>
        <v/>
      </c>
      <c r="D33" s="186">
        <f>D31-D28</f>
        <v/>
      </c>
      <c r="E33" s="186">
        <f>E31-E28</f>
        <v/>
      </c>
      <c r="F33" s="186">
        <f>F31-F28</f>
        <v/>
      </c>
      <c r="G33" s="186">
        <f>G31-G28</f>
        <v/>
      </c>
      <c r="H33" s="187">
        <f>H31-H28</f>
        <v/>
      </c>
      <c r="I33" s="143" t="n"/>
      <c r="J33" s="143" t="n"/>
      <c r="K33" s="143" t="n"/>
      <c r="L33" s="143" t="n"/>
      <c r="M33" s="143" t="n"/>
      <c r="N33" s="143" t="n"/>
      <c r="O33" s="143" t="n"/>
      <c r="P33" s="143" t="n"/>
      <c r="Q33" s="143" t="n"/>
      <c r="R33" s="143" t="n"/>
      <c r="S33" s="143" t="n"/>
      <c r="T33" s="143" t="n"/>
      <c r="U33" s="143" t="n"/>
      <c r="V33" s="143" t="n"/>
      <c r="W33" s="143" t="n"/>
      <c r="X33" s="143" t="n"/>
      <c r="Y33" s="143" t="n"/>
      <c r="Z33" s="143" t="n"/>
      <c r="AA33" s="143" t="n"/>
      <c r="AB33" s="143" t="n"/>
      <c r="AC33" s="143" t="n"/>
      <c r="AD33" s="143" t="n"/>
      <c r="AE33" s="143" t="n"/>
      <c r="AF33" s="143" t="n"/>
    </row>
    <row r="34" ht="16.5" customHeight="1" s="534">
      <c r="B34" s="142" t="n"/>
      <c r="C34" s="155" t="n"/>
      <c r="D34" s="155" t="n"/>
      <c r="E34" s="155" t="n"/>
      <c r="F34" s="155" t="n"/>
      <c r="G34" s="155" t="n"/>
      <c r="H34" s="155" t="n"/>
      <c r="I34" s="143" t="n"/>
      <c r="J34" s="143" t="n"/>
      <c r="K34" s="143" t="n"/>
      <c r="L34" s="143" t="n"/>
      <c r="M34" s="143" t="n"/>
      <c r="N34" s="143" t="n"/>
      <c r="O34" s="143" t="n"/>
      <c r="P34" s="143" t="n"/>
      <c r="Q34" s="143" t="n"/>
      <c r="R34" s="143" t="n"/>
      <c r="S34" s="143" t="n"/>
      <c r="T34" s="143" t="n"/>
      <c r="U34" s="143" t="n"/>
      <c r="V34" s="143" t="n"/>
      <c r="W34" s="143" t="n"/>
      <c r="X34" s="143" t="n"/>
      <c r="Y34" s="143" t="n"/>
      <c r="Z34" s="143" t="n"/>
      <c r="AA34" s="143" t="n"/>
      <c r="AB34" s="143" t="n"/>
      <c r="AC34" s="143" t="n"/>
      <c r="AD34" s="143" t="n"/>
      <c r="AE34" s="143" t="n"/>
      <c r="AF34" s="143" t="n"/>
    </row>
    <row r="35" ht="16.5" customHeight="1" s="534">
      <c r="B35" s="142" t="n"/>
      <c r="C35" s="143" t="n"/>
      <c r="D35" s="143" t="n"/>
      <c r="E35" s="143" t="n"/>
      <c r="F35" s="143" t="n"/>
      <c r="G35" s="143" t="n"/>
      <c r="H35" s="143" t="n"/>
      <c r="I35" s="143" t="n"/>
      <c r="J35" s="143" t="n"/>
      <c r="K35" s="143" t="n"/>
      <c r="L35" s="143" t="n"/>
      <c r="M35" s="143" t="n"/>
      <c r="N35" s="143" t="n"/>
      <c r="O35" s="143" t="n"/>
      <c r="P35" s="143" t="n"/>
      <c r="Q35" s="143" t="n"/>
      <c r="R35" s="143" t="n"/>
      <c r="S35" s="143" t="n"/>
      <c r="T35" s="143" t="n"/>
      <c r="U35" s="143" t="n"/>
      <c r="V35" s="143" t="n"/>
      <c r="W35" s="143" t="n"/>
      <c r="X35" s="143" t="n"/>
      <c r="Y35" s="143" t="n"/>
      <c r="Z35" s="143" t="n"/>
      <c r="AA35" s="143" t="n"/>
      <c r="AB35" s="143" t="n"/>
      <c r="AC35" s="143" t="n"/>
      <c r="AD35" s="143" t="n"/>
      <c r="AE35" s="143" t="n"/>
      <c r="AF35" s="143" t="n"/>
    </row>
    <row r="36" ht="16.5" customHeight="1" s="534" thickBot="1">
      <c r="A36" s="82" t="inlineStr">
        <is>
          <t>Block 3b — PTC MACRS Depreciation Schedule</t>
        </is>
      </c>
      <c r="B36" s="530" t="n"/>
      <c r="C36" s="530" t="n"/>
      <c r="D36" s="530" t="n"/>
      <c r="E36" s="530" t="n"/>
      <c r="F36" s="530" t="n"/>
      <c r="G36" s="530" t="n"/>
      <c r="H36" s="530" t="n"/>
      <c r="I36" s="143" t="n"/>
      <c r="J36" s="143" t="n"/>
      <c r="K36" s="143" t="n"/>
      <c r="L36" s="143" t="n"/>
      <c r="M36" s="143" t="n"/>
      <c r="N36" s="143" t="n"/>
      <c r="O36" s="143" t="n"/>
      <c r="P36" s="143" t="n"/>
      <c r="Q36" s="143" t="n"/>
      <c r="R36" s="143" t="n"/>
      <c r="S36" s="143" t="n"/>
      <c r="T36" s="143" t="n"/>
      <c r="U36" s="143" t="n"/>
      <c r="V36" s="143" t="n"/>
      <c r="W36" s="143" t="n"/>
      <c r="X36" s="143" t="n"/>
      <c r="Y36" s="143" t="n"/>
      <c r="Z36" s="143" t="n"/>
      <c r="AA36" s="143" t="n"/>
      <c r="AB36" s="143" t="n"/>
      <c r="AC36" s="143" t="n"/>
      <c r="AD36" s="143" t="n"/>
      <c r="AE36" s="143" t="n"/>
      <c r="AF36" s="143" t="n"/>
    </row>
    <row r="37" ht="16.5" customHeight="1" s="534">
      <c r="B37" s="335" t="inlineStr">
        <is>
          <t>PTC Depreciable Basis ($)</t>
        </is>
      </c>
      <c r="C37" s="196">
        <f>$C$6</f>
        <v/>
      </c>
      <c r="D37" s="196">
        <f>$C$6</f>
        <v/>
      </c>
      <c r="E37" s="196">
        <f>$C$6</f>
        <v/>
      </c>
      <c r="F37" s="196">
        <f>$C$6</f>
        <v/>
      </c>
      <c r="G37" s="196">
        <f>$C$6</f>
        <v/>
      </c>
      <c r="H37" s="197">
        <f>$C$6</f>
        <v/>
      </c>
      <c r="I37" s="143" t="n"/>
      <c r="J37" s="143" t="n"/>
      <c r="K37" s="143" t="n"/>
      <c r="L37" s="143" t="n"/>
      <c r="M37" s="143" t="n"/>
      <c r="N37" s="143" t="n"/>
      <c r="O37" s="143" t="n"/>
      <c r="P37" s="143" t="n"/>
      <c r="Q37" s="143" t="n"/>
      <c r="R37" s="143" t="n"/>
      <c r="S37" s="143" t="n"/>
      <c r="T37" s="143" t="n"/>
      <c r="U37" s="143" t="n"/>
      <c r="V37" s="143" t="n"/>
      <c r="W37" s="143" t="n"/>
      <c r="X37" s="143" t="n"/>
      <c r="Y37" s="143" t="n"/>
      <c r="Z37" s="143" t="n"/>
      <c r="AA37" s="143" t="n"/>
      <c r="AB37" s="143" t="n"/>
      <c r="AC37" s="143" t="n"/>
      <c r="AD37" s="143" t="n"/>
      <c r="AE37" s="143" t="n"/>
      <c r="AF37" s="143" t="n"/>
    </row>
    <row r="38" ht="16.5" customHeight="1" s="534">
      <c r="B38" s="332" t="inlineStr">
        <is>
          <t>MACRS % — Year N</t>
        </is>
      </c>
      <c r="C38" s="113">
        <f>Inputs!$D$92</f>
        <v/>
      </c>
      <c r="D38" s="113">
        <f>Inputs!$D$93</f>
        <v/>
      </c>
      <c r="E38" s="113">
        <f>Inputs!$D$94</f>
        <v/>
      </c>
      <c r="F38" s="113">
        <f>Inputs!$D$95</f>
        <v/>
      </c>
      <c r="G38" s="113">
        <f>Inputs!$D$96</f>
        <v/>
      </c>
      <c r="H38" s="184">
        <f>Inputs!$D$97</f>
        <v/>
      </c>
      <c r="I38" s="143" t="n"/>
      <c r="J38" s="143" t="n"/>
      <c r="K38" s="143" t="n"/>
      <c r="L38" s="143" t="n"/>
      <c r="M38" s="143" t="n"/>
      <c r="N38" s="143" t="n"/>
      <c r="O38" s="143" t="n"/>
      <c r="P38" s="143" t="n"/>
      <c r="Q38" s="143" t="n"/>
      <c r="R38" s="143" t="n"/>
      <c r="S38" s="143" t="n"/>
      <c r="T38" s="143" t="n"/>
      <c r="U38" s="143" t="n"/>
      <c r="V38" s="143" t="n"/>
      <c r="W38" s="143" t="n"/>
      <c r="X38" s="143" t="n"/>
      <c r="Y38" s="143" t="n"/>
      <c r="Z38" s="143" t="n"/>
      <c r="AA38" s="143" t="n"/>
      <c r="AB38" s="143" t="n"/>
      <c r="AC38" s="143" t="n"/>
      <c r="AD38" s="143" t="n"/>
      <c r="AE38" s="143" t="n"/>
      <c r="AF38" s="143" t="n"/>
    </row>
    <row r="39" ht="16.5" customHeight="1" s="534">
      <c r="B39" s="333" t="inlineStr">
        <is>
          <t>PTC Annual Depreciation ($)</t>
        </is>
      </c>
      <c r="C39" s="194">
        <f>C37*C38</f>
        <v/>
      </c>
      <c r="D39" s="194">
        <f>D37*D38</f>
        <v/>
      </c>
      <c r="E39" s="194">
        <f>E37*E38</f>
        <v/>
      </c>
      <c r="F39" s="194">
        <f>F37*F38</f>
        <v/>
      </c>
      <c r="G39" s="194">
        <f>G37*G38</f>
        <v/>
      </c>
      <c r="H39" s="195">
        <f>H37*H38</f>
        <v/>
      </c>
      <c r="I39" s="143" t="n"/>
      <c r="J39" s="143" t="n"/>
      <c r="K39" s="143" t="n"/>
      <c r="L39" s="143" t="n"/>
      <c r="M39" s="143" t="n"/>
      <c r="N39" s="143" t="n"/>
      <c r="O39" s="143" t="n"/>
      <c r="P39" s="143" t="n"/>
      <c r="Q39" s="143" t="n"/>
      <c r="R39" s="143" t="n"/>
      <c r="S39" s="143" t="n"/>
      <c r="T39" s="143" t="n"/>
      <c r="U39" s="143" t="n"/>
      <c r="V39" s="143" t="n"/>
      <c r="W39" s="143" t="n"/>
      <c r="X39" s="143" t="n"/>
      <c r="Y39" s="143" t="n"/>
      <c r="Z39" s="143" t="n"/>
      <c r="AA39" s="143" t="n"/>
      <c r="AB39" s="143" t="n"/>
      <c r="AC39" s="143" t="n"/>
      <c r="AD39" s="143" t="n"/>
      <c r="AE39" s="143" t="n"/>
      <c r="AF39" s="143" t="n"/>
    </row>
    <row r="40" ht="16.5" customHeight="1" s="534">
      <c r="B40" s="332" t="inlineStr">
        <is>
          <t>PTC Cumulative Depreciation ($)</t>
        </is>
      </c>
      <c r="C40" s="116">
        <f>C39</f>
        <v/>
      </c>
      <c r="D40" s="116">
        <f>C40+D39</f>
        <v/>
      </c>
      <c r="E40" s="116">
        <f>D40+E39</f>
        <v/>
      </c>
      <c r="F40" s="116">
        <f>E40+F39</f>
        <v/>
      </c>
      <c r="G40" s="116">
        <f>F40+G39</f>
        <v/>
      </c>
      <c r="H40" s="185">
        <f>G40+H39</f>
        <v/>
      </c>
      <c r="I40" s="143" t="n"/>
      <c r="J40" s="143" t="n"/>
      <c r="K40" s="143" t="n"/>
      <c r="L40" s="143" t="n"/>
      <c r="M40" s="143" t="n"/>
      <c r="N40" s="143" t="n"/>
      <c r="O40" s="143" t="n"/>
      <c r="P40" s="143" t="n"/>
      <c r="Q40" s="143" t="n"/>
      <c r="R40" s="143" t="n"/>
      <c r="S40" s="143" t="n"/>
      <c r="T40" s="143" t="n"/>
      <c r="U40" s="143" t="n"/>
      <c r="V40" s="143" t="n"/>
      <c r="W40" s="143" t="n"/>
      <c r="X40" s="143" t="n"/>
      <c r="Y40" s="143" t="n"/>
      <c r="Z40" s="143" t="n"/>
      <c r="AA40" s="143" t="n"/>
      <c r="AB40" s="143" t="n"/>
      <c r="AC40" s="143" t="n"/>
      <c r="AD40" s="143" t="n"/>
      <c r="AE40" s="143" t="n"/>
      <c r="AF40" s="143" t="n"/>
    </row>
    <row r="41" ht="16.5" customHeight="1" s="534">
      <c r="B41" s="333" t="inlineStr">
        <is>
          <t>PTC Depreciation Tax Shield ($)</t>
        </is>
      </c>
      <c r="C41" s="194">
        <f>C39*Inputs!$D$89</f>
        <v/>
      </c>
      <c r="D41" s="194">
        <f>D39*Inputs!$D$89</f>
        <v/>
      </c>
      <c r="E41" s="194">
        <f>E39*Inputs!$D$89</f>
        <v/>
      </c>
      <c r="F41" s="194">
        <f>F39*Inputs!$D$89</f>
        <v/>
      </c>
      <c r="G41" s="194">
        <f>G39*Inputs!$D$89</f>
        <v/>
      </c>
      <c r="H41" s="195">
        <f>H39*Inputs!$D$89</f>
        <v/>
      </c>
      <c r="I41" s="143" t="n"/>
      <c r="J41" s="143" t="n"/>
      <c r="K41" s="143" t="n"/>
      <c r="L41" s="143" t="n"/>
      <c r="M41" s="143" t="n"/>
      <c r="N41" s="143" t="n"/>
      <c r="O41" s="143" t="n"/>
      <c r="P41" s="143" t="n"/>
      <c r="Q41" s="143" t="n"/>
      <c r="R41" s="143" t="n"/>
      <c r="S41" s="143" t="n"/>
      <c r="T41" s="143" t="n"/>
      <c r="U41" s="143" t="n"/>
      <c r="V41" s="143" t="n"/>
      <c r="W41" s="143" t="n"/>
      <c r="X41" s="143" t="n"/>
      <c r="Y41" s="143" t="n"/>
      <c r="Z41" s="143" t="n"/>
      <c r="AA41" s="143" t="n"/>
      <c r="AB41" s="143" t="n"/>
      <c r="AC41" s="143" t="n"/>
      <c r="AD41" s="143" t="n"/>
      <c r="AE41" s="143" t="n"/>
      <c r="AF41" s="143" t="n"/>
    </row>
    <row r="42" ht="16.5" customHeight="1" s="534">
      <c r="B42" s="334" t="inlineStr">
        <is>
          <t>Check: Fully Depreciated</t>
        </is>
      </c>
      <c r="C42" s="186">
        <f>C40-C37</f>
        <v/>
      </c>
      <c r="D42" s="186">
        <f>D40-D37</f>
        <v/>
      </c>
      <c r="E42" s="186">
        <f>E40-E37</f>
        <v/>
      </c>
      <c r="F42" s="186">
        <f>F40-F37</f>
        <v/>
      </c>
      <c r="G42" s="186">
        <f>G40-G37</f>
        <v/>
      </c>
      <c r="H42" s="187">
        <f>H40-H37</f>
        <v/>
      </c>
      <c r="I42" s="143" t="n"/>
      <c r="J42" s="143" t="n"/>
      <c r="K42" s="143" t="n"/>
      <c r="L42" s="143" t="n"/>
      <c r="M42" s="143" t="n"/>
      <c r="N42" s="143" t="n"/>
      <c r="O42" s="143" t="n"/>
      <c r="P42" s="143" t="n"/>
      <c r="Q42" s="143" t="n"/>
      <c r="R42" s="143" t="n"/>
      <c r="S42" s="143" t="n"/>
      <c r="T42" s="143" t="n"/>
      <c r="U42" s="143" t="n"/>
      <c r="V42" s="143" t="n"/>
      <c r="W42" s="143" t="n"/>
      <c r="X42" s="143" t="n"/>
      <c r="Y42" s="143" t="n"/>
      <c r="Z42" s="143" t="n"/>
      <c r="AA42" s="143" t="n"/>
      <c r="AB42" s="143" t="n"/>
      <c r="AC42" s="143" t="n"/>
      <c r="AD42" s="143" t="n"/>
      <c r="AE42" s="143" t="n"/>
      <c r="AF42" s="143" t="n"/>
    </row>
    <row r="43" ht="16.5" customHeight="1" s="534">
      <c r="B43" s="142" t="n"/>
      <c r="C43" s="155" t="n"/>
      <c r="D43" s="155" t="n"/>
      <c r="E43" s="155" t="n"/>
      <c r="F43" s="155" t="n"/>
      <c r="G43" s="155" t="n"/>
      <c r="H43" s="155" t="n"/>
      <c r="I43" s="143" t="n"/>
      <c r="J43" s="143" t="n"/>
      <c r="K43" s="143" t="n"/>
      <c r="L43" s="143" t="n"/>
      <c r="M43" s="143" t="n"/>
      <c r="N43" s="143" t="n"/>
      <c r="O43" s="143" t="n"/>
      <c r="P43" s="143" t="n"/>
      <c r="Q43" s="143" t="n"/>
      <c r="R43" s="143" t="n"/>
      <c r="S43" s="143" t="n"/>
      <c r="T43" s="143" t="n"/>
      <c r="U43" s="143" t="n"/>
      <c r="V43" s="143" t="n"/>
      <c r="W43" s="143" t="n"/>
      <c r="X43" s="143" t="n"/>
      <c r="Y43" s="143" t="n"/>
      <c r="Z43" s="143" t="n"/>
      <c r="AA43" s="143" t="n"/>
      <c r="AB43" s="143" t="n"/>
      <c r="AC43" s="143" t="n"/>
      <c r="AD43" s="143" t="n"/>
      <c r="AE43" s="143" t="n"/>
      <c r="AF43" s="143" t="n"/>
    </row>
    <row r="44" ht="16.5" customHeight="1" s="534">
      <c r="B44" s="142" t="n"/>
      <c r="C44" s="143" t="n"/>
      <c r="D44" s="143" t="n"/>
      <c r="E44" s="143" t="n"/>
      <c r="F44" s="143" t="n"/>
      <c r="G44" s="143" t="n"/>
      <c r="H44" s="143" t="n"/>
      <c r="I44" s="143" t="n"/>
      <c r="J44" s="143" t="n"/>
      <c r="K44" s="143" t="n"/>
      <c r="L44" s="143" t="n"/>
      <c r="M44" s="143" t="n"/>
      <c r="N44" s="143" t="n"/>
      <c r="O44" s="143" t="n"/>
      <c r="P44" s="143" t="n"/>
      <c r="Q44" s="143" t="n"/>
      <c r="R44" s="143" t="n"/>
      <c r="S44" s="143" t="n"/>
      <c r="T44" s="143" t="n"/>
      <c r="U44" s="143" t="n"/>
      <c r="V44" s="143" t="n"/>
      <c r="W44" s="143" t="n"/>
      <c r="X44" s="143" t="n"/>
      <c r="Y44" s="143" t="n"/>
      <c r="Z44" s="143" t="n"/>
      <c r="AA44" s="143" t="n"/>
      <c r="AB44" s="143" t="n"/>
      <c r="AC44" s="143" t="n"/>
      <c r="AD44" s="143" t="n"/>
      <c r="AE44" s="143" t="n"/>
      <c r="AF44" s="143" t="n"/>
    </row>
    <row r="45" ht="16.5" customHeight="1" s="534" thickBot="1">
      <c r="A45" s="82" t="inlineStr">
        <is>
          <t>Block 4 — ITC vs. PTC Comparison</t>
        </is>
      </c>
      <c r="B45" s="530" t="n"/>
      <c r="C45" s="530" t="n"/>
      <c r="D45" s="530" t="n"/>
      <c r="E45" s="143" t="n"/>
      <c r="F45" s="143" t="n"/>
      <c r="G45" s="143" t="n"/>
      <c r="H45" s="143" t="n"/>
      <c r="I45" s="143" t="n"/>
      <c r="J45" s="143" t="n"/>
      <c r="K45" s="143" t="n"/>
      <c r="L45" s="143" t="n"/>
      <c r="M45" s="143" t="n"/>
      <c r="N45" s="143" t="n"/>
      <c r="O45" s="143" t="n"/>
      <c r="P45" s="143" t="n"/>
      <c r="Q45" s="143" t="n"/>
      <c r="R45" s="143" t="n"/>
      <c r="S45" s="143" t="n"/>
      <c r="T45" s="143" t="n"/>
      <c r="U45" s="143" t="n"/>
      <c r="V45" s="143" t="n"/>
      <c r="W45" s="143" t="n"/>
      <c r="X45" s="143" t="n"/>
      <c r="Y45" s="143" t="n"/>
      <c r="Z45" s="143" t="n"/>
      <c r="AA45" s="143" t="n"/>
      <c r="AB45" s="143" t="n"/>
      <c r="AC45" s="143" t="n"/>
      <c r="AD45" s="143" t="n"/>
      <c r="AE45" s="143" t="n"/>
      <c r="AF45" s="143" t="n"/>
    </row>
    <row r="46" ht="16.5" customHeight="1" s="534">
      <c r="B46" s="191" t="inlineStr">
        <is>
          <t>Tax Credit Election</t>
        </is>
      </c>
      <c r="C46" s="192" t="inlineStr">
        <is>
          <t>ITC</t>
        </is>
      </c>
      <c r="D46" s="192" t="inlineStr">
        <is>
          <t>PTC</t>
        </is>
      </c>
      <c r="E46" s="143" t="n"/>
      <c r="F46" s="143" t="n"/>
      <c r="G46" s="143" t="n"/>
      <c r="H46" s="143" t="n"/>
      <c r="I46" s="143" t="n"/>
      <c r="J46" s="143" t="n"/>
      <c r="K46" s="143" t="n"/>
      <c r="L46" s="143" t="n"/>
      <c r="M46" s="143" t="n"/>
      <c r="N46" s="143" t="n"/>
      <c r="O46" s="143" t="n"/>
      <c r="P46" s="143" t="n"/>
      <c r="Q46" s="143" t="n"/>
      <c r="R46" s="143" t="n"/>
      <c r="S46" s="143" t="n"/>
      <c r="T46" s="143" t="n"/>
      <c r="U46" s="143" t="n"/>
      <c r="V46" s="143" t="n"/>
      <c r="W46" s="143" t="n"/>
      <c r="X46" s="143" t="n"/>
      <c r="Y46" s="143" t="n"/>
      <c r="Z46" s="143" t="n"/>
      <c r="AA46" s="143" t="n"/>
      <c r="AB46" s="143" t="n"/>
      <c r="AC46" s="143" t="n"/>
      <c r="AD46" s="143" t="n"/>
      <c r="AE46" s="143" t="n"/>
      <c r="AF46" s="143" t="n"/>
    </row>
    <row r="47" ht="16.5" customHeight="1" s="534">
      <c r="B47" s="336" t="inlineStr">
        <is>
          <t>NPV of Credit Proceeds ($)</t>
        </is>
      </c>
      <c r="C47" s="198">
        <f>C10</f>
        <v/>
      </c>
      <c r="D47" s="199">
        <f>NPV(Inputs!$D$101,Tax!C24:AF24)</f>
        <v/>
      </c>
      <c r="E47" s="143" t="n"/>
      <c r="F47" s="143" t="n"/>
      <c r="G47" s="143" t="n"/>
      <c r="H47" s="143" t="n"/>
      <c r="I47" s="143" t="n"/>
      <c r="J47" s="143" t="n"/>
      <c r="K47" s="143" t="n"/>
      <c r="L47" s="143" t="n"/>
      <c r="M47" s="143" t="n"/>
      <c r="N47" s="143" t="n"/>
      <c r="O47" s="143" t="n"/>
      <c r="P47" s="143" t="n"/>
      <c r="Q47" s="143" t="n"/>
      <c r="R47" s="143" t="n"/>
      <c r="S47" s="143" t="n"/>
      <c r="T47" s="143" t="n"/>
      <c r="U47" s="143" t="n"/>
      <c r="V47" s="143" t="n"/>
      <c r="W47" s="143" t="n"/>
      <c r="X47" s="143" t="n"/>
      <c r="Y47" s="143" t="n"/>
      <c r="Z47" s="143" t="n"/>
      <c r="AA47" s="143" t="n"/>
      <c r="AB47" s="143" t="n"/>
      <c r="AC47" s="143" t="n"/>
      <c r="AD47" s="143" t="n"/>
      <c r="AE47" s="143" t="n"/>
      <c r="AF47" s="143" t="n"/>
    </row>
    <row r="48" ht="16.5" customHeight="1" s="534">
      <c r="B48" s="332" t="inlineStr">
        <is>
          <t>Depreciable Basis ($)</t>
        </is>
      </c>
      <c r="C48" s="116">
        <f>C12</f>
        <v/>
      </c>
      <c r="D48" s="116">
        <f>C6</f>
        <v/>
      </c>
      <c r="E48" s="143" t="n"/>
      <c r="F48" s="143" t="n"/>
      <c r="G48" s="143" t="n"/>
      <c r="H48" s="143" t="n"/>
      <c r="I48" s="143" t="n"/>
      <c r="J48" s="143" t="n"/>
      <c r="K48" s="143" t="n"/>
      <c r="L48" s="143" t="n"/>
      <c r="M48" s="143" t="n"/>
      <c r="N48" s="143" t="n"/>
      <c r="O48" s="143" t="n"/>
      <c r="P48" s="143" t="n"/>
      <c r="Q48" s="143" t="n"/>
      <c r="R48" s="143" t="n"/>
      <c r="S48" s="143" t="n"/>
      <c r="T48" s="143" t="n"/>
      <c r="U48" s="143" t="n"/>
      <c r="V48" s="143" t="n"/>
      <c r="W48" s="143" t="n"/>
      <c r="X48" s="143" t="n"/>
      <c r="Y48" s="143" t="n"/>
      <c r="Z48" s="143" t="n"/>
      <c r="AA48" s="143" t="n"/>
      <c r="AB48" s="143" t="n"/>
      <c r="AC48" s="143" t="n"/>
      <c r="AD48" s="143" t="n"/>
      <c r="AE48" s="143" t="n"/>
      <c r="AF48" s="143" t="n"/>
    </row>
    <row r="49" ht="18" customHeight="1" s="534">
      <c r="B49" s="337" t="inlineStr">
        <is>
          <t>NPV of Depreciation Tax Shield ($)</t>
        </is>
      </c>
      <c r="C49" s="121">
        <f>NPV(Inputs!$D$101,Tax!C32:H32)</f>
        <v/>
      </c>
      <c r="D49" s="200">
        <f>NPV(Inputs!$D$101,Tax!C41:H41)</f>
        <v/>
      </c>
      <c r="E49" s="156" t="n"/>
      <c r="F49" s="156" t="n"/>
      <c r="G49" s="156" t="n"/>
      <c r="H49" s="156" t="n"/>
      <c r="I49" s="156" t="n"/>
      <c r="J49" s="156" t="n"/>
      <c r="K49" s="156" t="n"/>
      <c r="L49" s="156" t="n"/>
      <c r="M49" s="156" t="n"/>
      <c r="N49" s="156" t="n"/>
      <c r="O49" s="156" t="n"/>
      <c r="P49" s="156" t="n"/>
      <c r="Q49" s="156" t="n"/>
      <c r="R49" s="156" t="n"/>
      <c r="S49" s="156" t="n"/>
      <c r="T49" s="156" t="n"/>
      <c r="U49" s="156" t="n"/>
      <c r="V49" s="156" t="n"/>
      <c r="W49" s="156" t="n"/>
      <c r="X49" s="156" t="n"/>
      <c r="Y49" s="156" t="n"/>
      <c r="Z49" s="156" t="n"/>
      <c r="AA49" s="156" t="n"/>
      <c r="AB49" s="156" t="n"/>
      <c r="AC49" s="156" t="n"/>
      <c r="AD49" s="156" t="n"/>
      <c r="AE49" s="156" t="n"/>
      <c r="AF49" s="156" t="n"/>
    </row>
    <row r="50" ht="18" customHeight="1" s="534">
      <c r="B50" s="343" t="inlineStr">
        <is>
          <t>Additional Equity Required at Close</t>
        </is>
      </c>
      <c r="C50" s="344">
        <f>0</f>
        <v/>
      </c>
      <c r="D50" s="345">
        <f>C47</f>
        <v/>
      </c>
      <c r="E50" s="156" t="n"/>
      <c r="F50" s="156" t="n"/>
      <c r="G50" s="156" t="n"/>
      <c r="H50" s="156" t="n"/>
      <c r="I50" s="156" t="n"/>
      <c r="J50" s="156" t="n"/>
      <c r="K50" s="156" t="n"/>
      <c r="L50" s="156" t="n"/>
      <c r="M50" s="156" t="n"/>
      <c r="N50" s="156" t="n"/>
      <c r="O50" s="156" t="n"/>
      <c r="P50" s="156" t="n"/>
      <c r="Q50" s="156" t="n"/>
      <c r="R50" s="156" t="n"/>
      <c r="S50" s="156" t="n"/>
      <c r="T50" s="156" t="n"/>
      <c r="U50" s="156" t="n"/>
      <c r="V50" s="156" t="n"/>
      <c r="W50" s="156" t="n"/>
      <c r="X50" s="156" t="n"/>
      <c r="Y50" s="156" t="n"/>
      <c r="Z50" s="156" t="n"/>
      <c r="AA50" s="156" t="n"/>
      <c r="AB50" s="156" t="n"/>
      <c r="AC50" s="156" t="n"/>
      <c r="AD50" s="156" t="n"/>
      <c r="AE50" s="156" t="n"/>
      <c r="AF50" s="156" t="n"/>
    </row>
    <row r="51" ht="16.5" customHeight="1" s="534">
      <c r="B51" s="346" t="inlineStr">
        <is>
          <t>Total Economic Value ($)</t>
        </is>
      </c>
      <c r="C51" s="347">
        <f>C47+C49</f>
        <v/>
      </c>
      <c r="D51" s="348">
        <f>D47+D49-D50</f>
        <v/>
      </c>
      <c r="E51" s="143" t="n"/>
      <c r="F51" s="143" t="n"/>
      <c r="G51" s="143" t="n"/>
      <c r="H51" s="143" t="n"/>
      <c r="I51" s="143" t="n"/>
      <c r="J51" s="143" t="n"/>
      <c r="K51" s="143" t="n"/>
      <c r="L51" s="143" t="n"/>
      <c r="M51" s="143" t="n"/>
      <c r="N51" s="143" t="n"/>
      <c r="O51" s="143" t="n"/>
      <c r="P51" s="143" t="n"/>
      <c r="Q51" s="143" t="n"/>
      <c r="R51" s="143" t="n"/>
      <c r="S51" s="143" t="n"/>
      <c r="T51" s="143" t="n"/>
      <c r="U51" s="143" t="n"/>
      <c r="V51" s="143" t="n"/>
      <c r="W51" s="143" t="n"/>
      <c r="X51" s="143" t="n"/>
      <c r="Y51" s="143" t="n"/>
      <c r="Z51" s="143" t="n"/>
      <c r="AA51" s="143" t="n"/>
      <c r="AB51" s="143" t="n"/>
      <c r="AC51" s="143" t="n"/>
      <c r="AD51" s="143" t="n"/>
      <c r="AE51" s="143" t="n"/>
      <c r="AF51" s="143" t="n"/>
    </row>
    <row r="52" ht="16.5" customHeight="1" s="534">
      <c r="B52" s="188" t="n"/>
      <c r="C52" s="189" t="n"/>
      <c r="D52" s="154" t="n"/>
      <c r="E52" s="143" t="n"/>
      <c r="F52" s="143" t="n"/>
      <c r="G52" s="143" t="n"/>
      <c r="H52" s="143" t="n"/>
      <c r="I52" s="143" t="n"/>
      <c r="J52" s="143" t="n"/>
      <c r="K52" s="143" t="n"/>
      <c r="L52" s="143" t="n"/>
      <c r="M52" s="143" t="n"/>
      <c r="N52" s="143" t="n"/>
      <c r="O52" s="143" t="n"/>
      <c r="P52" s="143" t="n"/>
      <c r="Q52" s="143" t="n"/>
      <c r="R52" s="143" t="n"/>
      <c r="S52" s="143" t="n"/>
      <c r="T52" s="143" t="n"/>
      <c r="U52" s="143" t="n"/>
      <c r="V52" s="143" t="n"/>
      <c r="W52" s="143" t="n"/>
      <c r="X52" s="143" t="n"/>
      <c r="Y52" s="143" t="n"/>
      <c r="Z52" s="143" t="n"/>
      <c r="AA52" s="143" t="n"/>
      <c r="AB52" s="143" t="n"/>
      <c r="AC52" s="143" t="n"/>
      <c r="AD52" s="143" t="n"/>
      <c r="AE52" s="143" t="n"/>
      <c r="AF52" s="143" t="n"/>
    </row>
    <row r="53" ht="18" customHeight="1" s="534">
      <c r="B53" s="335" t="inlineStr">
        <is>
          <t>Value Difference ($)</t>
        </is>
      </c>
      <c r="C53" s="339">
        <f>C51-D51</f>
        <v/>
      </c>
      <c r="D53" s="143" t="n"/>
      <c r="E53" s="156" t="n"/>
      <c r="F53" s="156" t="n"/>
      <c r="G53" s="156" t="n"/>
      <c r="H53" s="156" t="n"/>
      <c r="I53" s="156" t="n"/>
      <c r="J53" s="156" t="n"/>
      <c r="K53" s="156" t="n"/>
      <c r="L53" s="156" t="n"/>
      <c r="M53" s="156" t="n"/>
      <c r="N53" s="156" t="n"/>
      <c r="O53" s="156" t="n"/>
      <c r="P53" s="156" t="n"/>
      <c r="Q53" s="156" t="n"/>
      <c r="R53" s="156" t="n"/>
      <c r="S53" s="156" t="n"/>
      <c r="T53" s="156" t="n"/>
      <c r="U53" s="156" t="n"/>
      <c r="V53" s="156" t="n"/>
      <c r="W53" s="156" t="n"/>
      <c r="X53" s="156" t="n"/>
      <c r="Y53" s="156" t="n"/>
      <c r="Z53" s="156" t="n"/>
      <c r="AA53" s="156" t="n"/>
      <c r="AB53" s="156" t="n"/>
      <c r="AC53" s="156" t="n"/>
      <c r="AD53" s="156" t="n"/>
      <c r="AE53" s="156" t="n"/>
      <c r="AF53" s="156" t="n"/>
    </row>
    <row r="54" ht="16.5" customHeight="1" s="534">
      <c r="B54" s="338" t="inlineStr">
        <is>
          <t>Optimal Election</t>
        </is>
      </c>
      <c r="C54" s="190">
        <f>IF(C51&gt;D51,"ITC", "PTC")</f>
        <v/>
      </c>
      <c r="D54" s="156" t="n"/>
      <c r="E54" s="143" t="n"/>
      <c r="F54" s="143" t="n"/>
      <c r="G54" s="143" t="n"/>
      <c r="H54" s="143" t="n"/>
      <c r="I54" s="143" t="n"/>
      <c r="J54" s="143" t="n"/>
      <c r="K54" s="143" t="n"/>
      <c r="L54" s="143" t="n"/>
      <c r="M54" s="143" t="n"/>
      <c r="N54" s="143" t="n"/>
      <c r="O54" s="143" t="n"/>
      <c r="P54" s="143" t="n"/>
      <c r="Q54" s="143" t="n"/>
      <c r="R54" s="143" t="n"/>
      <c r="S54" s="143" t="n"/>
      <c r="T54" s="143" t="n"/>
      <c r="U54" s="143" t="n"/>
      <c r="V54" s="143" t="n"/>
      <c r="W54" s="143" t="n"/>
      <c r="X54" s="143" t="n"/>
      <c r="Y54" s="143" t="n"/>
      <c r="Z54" s="143" t="n"/>
      <c r="AA54" s="143" t="n"/>
      <c r="AB54" s="143" t="n"/>
      <c r="AC54" s="143" t="n"/>
      <c r="AD54" s="143" t="n"/>
      <c r="AE54" s="143" t="n"/>
      <c r="AF54" s="143" t="n"/>
    </row>
    <row r="55" ht="16.5" customFormat="1" customHeight="1" s="180">
      <c r="B55" s="349" t="inlineStr">
        <is>
          <t>**Total economic value comparison is on a project basis. From an equity investor perspective, PTC requires $45.5M more equity at close - reducing levered returns substantially despite higher total NPV. ITC is preferred for equity IRR optimization.</t>
        </is>
      </c>
      <c r="D55" s="181" t="n"/>
      <c r="E55" s="182" t="n"/>
      <c r="F55" s="182" t="n"/>
      <c r="G55" s="182" t="n"/>
      <c r="H55" s="182" t="n"/>
      <c r="I55" s="182" t="n"/>
      <c r="J55" s="182" t="n"/>
      <c r="K55" s="182" t="n"/>
      <c r="L55" s="182" t="n"/>
      <c r="M55" s="182" t="n"/>
      <c r="N55" s="182" t="n"/>
      <c r="O55" s="182" t="n"/>
      <c r="P55" s="182" t="n"/>
      <c r="Q55" s="182" t="n"/>
      <c r="R55" s="182" t="n"/>
      <c r="S55" s="182" t="n"/>
      <c r="T55" s="182" t="n"/>
      <c r="U55" s="182" t="n"/>
      <c r="V55" s="182" t="n"/>
      <c r="W55" s="182" t="n"/>
      <c r="X55" s="182" t="n"/>
      <c r="Y55" s="182" t="n"/>
      <c r="Z55" s="182" t="n"/>
      <c r="AA55" s="182" t="n"/>
      <c r="AB55" s="182" t="n"/>
      <c r="AC55" s="182" t="n"/>
      <c r="AD55" s="182" t="n"/>
      <c r="AE55" s="182" t="n"/>
      <c r="AF55" s="182" t="n"/>
    </row>
    <row r="56" ht="16.5" customFormat="1" customHeight="1" s="180">
      <c r="B56" s="183" t="n"/>
      <c r="C56" s="182" t="n"/>
      <c r="D56" s="182" t="n"/>
      <c r="E56" s="182" t="n"/>
      <c r="F56" s="182" t="n"/>
      <c r="G56" s="182" t="n"/>
      <c r="H56" s="182" t="n"/>
      <c r="I56" s="182" t="n"/>
      <c r="J56" s="182" t="n"/>
      <c r="K56" s="182" t="n"/>
      <c r="L56" s="182" t="n"/>
      <c r="M56" s="182" t="n"/>
      <c r="N56" s="182" t="n"/>
      <c r="O56" s="182" t="n"/>
      <c r="P56" s="182" t="n"/>
      <c r="Q56" s="182" t="n"/>
      <c r="R56" s="182" t="n"/>
      <c r="S56" s="182" t="n"/>
      <c r="T56" s="182" t="n"/>
      <c r="U56" s="182" t="n"/>
      <c r="V56" s="182" t="n"/>
      <c r="W56" s="182" t="n"/>
      <c r="X56" s="182" t="n"/>
      <c r="Y56" s="182" t="n"/>
      <c r="Z56" s="182" t="n"/>
      <c r="AA56" s="182" t="n"/>
      <c r="AB56" s="182" t="n"/>
      <c r="AC56" s="182" t="n"/>
      <c r="AD56" s="182" t="n"/>
      <c r="AE56" s="182" t="n"/>
      <c r="AF56" s="182" t="n"/>
    </row>
    <row r="57" ht="16.5" customHeight="1" s="534" thickBot="1">
      <c r="A57" s="82" t="inlineStr">
        <is>
          <t>Block 5 — Annual Tax Liability</t>
        </is>
      </c>
      <c r="B57" s="82" t="n"/>
      <c r="C57" s="82" t="n"/>
      <c r="D57" s="82" t="n"/>
      <c r="E57" s="82" t="n"/>
      <c r="F57" s="82" t="n"/>
      <c r="G57" s="82" t="n"/>
      <c r="H57" s="82" t="n"/>
      <c r="I57" s="82" t="n"/>
      <c r="J57" s="82" t="n"/>
      <c r="K57" s="82" t="n"/>
      <c r="L57" s="82" t="n"/>
      <c r="M57" s="82" t="n"/>
      <c r="N57" s="82" t="n"/>
      <c r="O57" s="82" t="n"/>
      <c r="P57" s="82" t="n"/>
      <c r="Q57" s="82" t="n"/>
      <c r="R57" s="82" t="n"/>
      <c r="S57" s="82" t="n"/>
      <c r="T57" s="82" t="n"/>
      <c r="U57" s="82" t="n"/>
      <c r="V57" s="82" t="n"/>
      <c r="W57" s="82" t="n"/>
      <c r="X57" s="82" t="n"/>
      <c r="Y57" s="82" t="n"/>
      <c r="Z57" s="82" t="n"/>
      <c r="AA57" s="82" t="n"/>
      <c r="AB57" s="82" t="n"/>
      <c r="AC57" s="82" t="n"/>
      <c r="AD57" s="82" t="n"/>
      <c r="AE57" s="82" t="n"/>
      <c r="AF57" s="82" t="n"/>
    </row>
    <row r="58" ht="16.5" customHeight="1" s="534">
      <c r="B58" s="251" t="inlineStr">
        <is>
          <t>Total Revenue ($)</t>
        </is>
      </c>
      <c r="C58" s="116">
        <f>Revenue!C50</f>
        <v/>
      </c>
      <c r="D58" s="116">
        <f>Revenue!D50</f>
        <v/>
      </c>
      <c r="E58" s="116">
        <f>Revenue!E50</f>
        <v/>
      </c>
      <c r="F58" s="116">
        <f>Revenue!F50</f>
        <v/>
      </c>
      <c r="G58" s="116">
        <f>Revenue!G50</f>
        <v/>
      </c>
      <c r="H58" s="116">
        <f>Revenue!H50</f>
        <v/>
      </c>
      <c r="I58" s="116">
        <f>Revenue!I50</f>
        <v/>
      </c>
      <c r="J58" s="116">
        <f>Revenue!J50</f>
        <v/>
      </c>
      <c r="K58" s="116">
        <f>Revenue!K50</f>
        <v/>
      </c>
      <c r="L58" s="116">
        <f>Revenue!L50</f>
        <v/>
      </c>
      <c r="M58" s="116">
        <f>Revenue!M50</f>
        <v/>
      </c>
      <c r="N58" s="116">
        <f>Revenue!N50</f>
        <v/>
      </c>
      <c r="O58" s="116">
        <f>Revenue!O50</f>
        <v/>
      </c>
      <c r="P58" s="116">
        <f>Revenue!P50</f>
        <v/>
      </c>
      <c r="Q58" s="116">
        <f>Revenue!Q50</f>
        <v/>
      </c>
      <c r="R58" s="116">
        <f>Revenue!R50</f>
        <v/>
      </c>
      <c r="S58" s="116">
        <f>Revenue!S50</f>
        <v/>
      </c>
      <c r="T58" s="116">
        <f>Revenue!T50</f>
        <v/>
      </c>
      <c r="U58" s="116">
        <f>Revenue!U50</f>
        <v/>
      </c>
      <c r="V58" s="116">
        <f>Revenue!V50</f>
        <v/>
      </c>
      <c r="W58" s="116">
        <f>Revenue!W50</f>
        <v/>
      </c>
      <c r="X58" s="116">
        <f>Revenue!X50</f>
        <v/>
      </c>
      <c r="Y58" s="116">
        <f>Revenue!Y50</f>
        <v/>
      </c>
      <c r="Z58" s="116">
        <f>Revenue!Z50</f>
        <v/>
      </c>
      <c r="AA58" s="116">
        <f>Revenue!AA50</f>
        <v/>
      </c>
      <c r="AB58" s="116">
        <f>Revenue!AB50</f>
        <v/>
      </c>
      <c r="AC58" s="116">
        <f>Revenue!AC50</f>
        <v/>
      </c>
      <c r="AD58" s="116">
        <f>Revenue!AD50</f>
        <v/>
      </c>
      <c r="AE58" s="116">
        <f>Revenue!AE50</f>
        <v/>
      </c>
      <c r="AF58" s="116">
        <f>Revenue!AF50</f>
        <v/>
      </c>
    </row>
    <row r="59" ht="16.5" customHeight="1" s="534">
      <c r="B59" s="278" t="inlineStr">
        <is>
          <t>Total Opex ($)</t>
        </is>
      </c>
      <c r="C59" s="194">
        <f>Costs!C25</f>
        <v/>
      </c>
      <c r="D59" s="194">
        <f>Costs!D25</f>
        <v/>
      </c>
      <c r="E59" s="194">
        <f>Costs!E25</f>
        <v/>
      </c>
      <c r="F59" s="194">
        <f>Costs!F25</f>
        <v/>
      </c>
      <c r="G59" s="194">
        <f>Costs!G25</f>
        <v/>
      </c>
      <c r="H59" s="194">
        <f>Costs!H25</f>
        <v/>
      </c>
      <c r="I59" s="194">
        <f>Costs!I25</f>
        <v/>
      </c>
      <c r="J59" s="194">
        <f>Costs!J25</f>
        <v/>
      </c>
      <c r="K59" s="194">
        <f>Costs!K25</f>
        <v/>
      </c>
      <c r="L59" s="194">
        <f>Costs!L25</f>
        <v/>
      </c>
      <c r="M59" s="194">
        <f>Costs!M25</f>
        <v/>
      </c>
      <c r="N59" s="194">
        <f>Costs!N25</f>
        <v/>
      </c>
      <c r="O59" s="194">
        <f>Costs!O25</f>
        <v/>
      </c>
      <c r="P59" s="194">
        <f>Costs!P25</f>
        <v/>
      </c>
      <c r="Q59" s="194">
        <f>Costs!Q25</f>
        <v/>
      </c>
      <c r="R59" s="194">
        <f>Costs!R25</f>
        <v/>
      </c>
      <c r="S59" s="194">
        <f>Costs!S25</f>
        <v/>
      </c>
      <c r="T59" s="194">
        <f>Costs!T25</f>
        <v/>
      </c>
      <c r="U59" s="194">
        <f>Costs!U25</f>
        <v/>
      </c>
      <c r="V59" s="194">
        <f>Costs!V25</f>
        <v/>
      </c>
      <c r="W59" s="194">
        <f>Costs!W25</f>
        <v/>
      </c>
      <c r="X59" s="194">
        <f>Costs!X25</f>
        <v/>
      </c>
      <c r="Y59" s="194">
        <f>Costs!Y25</f>
        <v/>
      </c>
      <c r="Z59" s="194">
        <f>Costs!Z25</f>
        <v/>
      </c>
      <c r="AA59" s="194">
        <f>Costs!AA25</f>
        <v/>
      </c>
      <c r="AB59" s="194">
        <f>Costs!AB25</f>
        <v/>
      </c>
      <c r="AC59" s="194">
        <f>Costs!AC25</f>
        <v/>
      </c>
      <c r="AD59" s="194">
        <f>Costs!AD25</f>
        <v/>
      </c>
      <c r="AE59" s="194">
        <f>Costs!AE25</f>
        <v/>
      </c>
      <c r="AF59" s="194">
        <f>Costs!AF25</f>
        <v/>
      </c>
    </row>
    <row r="60" ht="16.5" customHeight="1" s="534">
      <c r="B60" s="251" t="inlineStr">
        <is>
          <t>EBITDA ($)</t>
        </is>
      </c>
      <c r="C60" s="116">
        <f>C58-C59</f>
        <v/>
      </c>
      <c r="D60" s="116">
        <f>D58-D59</f>
        <v/>
      </c>
      <c r="E60" s="116">
        <f>E58-E59</f>
        <v/>
      </c>
      <c r="F60" s="116">
        <f>F58-F59</f>
        <v/>
      </c>
      <c r="G60" s="116">
        <f>G58-G59</f>
        <v/>
      </c>
      <c r="H60" s="116">
        <f>H58-H59</f>
        <v/>
      </c>
      <c r="I60" s="116">
        <f>I58-I59</f>
        <v/>
      </c>
      <c r="J60" s="116">
        <f>J58-J59</f>
        <v/>
      </c>
      <c r="K60" s="116">
        <f>K58-K59</f>
        <v/>
      </c>
      <c r="L60" s="116">
        <f>L58-L59</f>
        <v/>
      </c>
      <c r="M60" s="116">
        <f>M58-M59</f>
        <v/>
      </c>
      <c r="N60" s="116">
        <f>N58-N59</f>
        <v/>
      </c>
      <c r="O60" s="116">
        <f>O58-O59</f>
        <v/>
      </c>
      <c r="P60" s="116">
        <f>P58-P59</f>
        <v/>
      </c>
      <c r="Q60" s="116">
        <f>Q58-Q59</f>
        <v/>
      </c>
      <c r="R60" s="116">
        <f>R58-R59</f>
        <v/>
      </c>
      <c r="S60" s="116">
        <f>S58-S59</f>
        <v/>
      </c>
      <c r="T60" s="116">
        <f>T58-T59</f>
        <v/>
      </c>
      <c r="U60" s="116">
        <f>U58-U59</f>
        <v/>
      </c>
      <c r="V60" s="116">
        <f>V58-V59</f>
        <v/>
      </c>
      <c r="W60" s="116">
        <f>W58-W59</f>
        <v/>
      </c>
      <c r="X60" s="116">
        <f>X58-X59</f>
        <v/>
      </c>
      <c r="Y60" s="116">
        <f>Y58-Y59</f>
        <v/>
      </c>
      <c r="Z60" s="116">
        <f>Z58-Z59</f>
        <v/>
      </c>
      <c r="AA60" s="116">
        <f>AA58-AA59</f>
        <v/>
      </c>
      <c r="AB60" s="116">
        <f>AB58-AB59</f>
        <v/>
      </c>
      <c r="AC60" s="116">
        <f>AC58-AC59</f>
        <v/>
      </c>
      <c r="AD60" s="116">
        <f>AD58-AD59</f>
        <v/>
      </c>
      <c r="AE60" s="116">
        <f>AE58-AE59</f>
        <v/>
      </c>
      <c r="AF60" s="116">
        <f>AF58-AF59</f>
        <v/>
      </c>
    </row>
    <row r="61" ht="16.5" customHeight="1" s="534">
      <c r="B61" s="278" t="inlineStr">
        <is>
          <t>Interest Expense ($)</t>
        </is>
      </c>
      <c r="C61" s="194">
        <f>Debt!C23</f>
        <v/>
      </c>
      <c r="D61" s="194">
        <f>Debt!D23</f>
        <v/>
      </c>
      <c r="E61" s="194">
        <f>Debt!E23</f>
        <v/>
      </c>
      <c r="F61" s="194">
        <f>Debt!F23</f>
        <v/>
      </c>
      <c r="G61" s="194">
        <f>Debt!G23</f>
        <v/>
      </c>
      <c r="H61" s="194">
        <f>Debt!H23</f>
        <v/>
      </c>
      <c r="I61" s="194">
        <f>Debt!I23</f>
        <v/>
      </c>
      <c r="J61" s="194">
        <f>Debt!J23</f>
        <v/>
      </c>
      <c r="K61" s="194">
        <f>Debt!K23</f>
        <v/>
      </c>
      <c r="L61" s="194">
        <f>Debt!L23</f>
        <v/>
      </c>
      <c r="M61" s="194">
        <f>Debt!M23</f>
        <v/>
      </c>
      <c r="N61" s="194">
        <f>Debt!N23</f>
        <v/>
      </c>
      <c r="O61" s="194">
        <f>Debt!O23</f>
        <v/>
      </c>
      <c r="P61" s="194">
        <f>Debt!P23</f>
        <v/>
      </c>
      <c r="Q61" s="194">
        <f>Debt!Q23</f>
        <v/>
      </c>
      <c r="R61" s="194">
        <f>Debt!R23</f>
        <v/>
      </c>
      <c r="S61" s="194">
        <f>Debt!S23</f>
        <v/>
      </c>
      <c r="T61" s="194">
        <f>Debt!T23</f>
        <v/>
      </c>
      <c r="U61" s="194">
        <f>Debt!U23</f>
        <v/>
      </c>
      <c r="V61" s="194">
        <f>Debt!V23</f>
        <v/>
      </c>
      <c r="W61" s="194">
        <f>Debt!W23</f>
        <v/>
      </c>
      <c r="X61" s="194">
        <f>Debt!X23</f>
        <v/>
      </c>
      <c r="Y61" s="194">
        <f>Debt!Y23</f>
        <v/>
      </c>
      <c r="Z61" s="194">
        <f>Debt!Z23</f>
        <v/>
      </c>
      <c r="AA61" s="194">
        <f>Debt!AA23</f>
        <v/>
      </c>
      <c r="AB61" s="194">
        <f>Debt!AB23</f>
        <v/>
      </c>
      <c r="AC61" s="194">
        <f>Debt!AC23</f>
        <v/>
      </c>
      <c r="AD61" s="194">
        <f>Debt!AD23</f>
        <v/>
      </c>
      <c r="AE61" s="194">
        <f>Debt!AE23</f>
        <v/>
      </c>
      <c r="AF61" s="194">
        <f>Debt!AF23</f>
        <v/>
      </c>
    </row>
    <row r="62" ht="16.5" customHeight="1" s="534">
      <c r="B62" s="251" t="inlineStr">
        <is>
          <t>Applied Annual Depreciation ($)</t>
        </is>
      </c>
      <c r="C62" s="116">
        <f>IF(Inputs!$D$79="ITC",Tax!C30,Tax!C39)</f>
        <v/>
      </c>
      <c r="D62" s="116">
        <f>IF(Inputs!$D$79="ITC",Tax!D30,Tax!D39)</f>
        <v/>
      </c>
      <c r="E62" s="116">
        <f>IF(Inputs!$D$79="ITC",Tax!E30,Tax!E39)</f>
        <v/>
      </c>
      <c r="F62" s="116">
        <f>IF(Inputs!$D$79="ITC",Tax!F30,Tax!F39)</f>
        <v/>
      </c>
      <c r="G62" s="116">
        <f>IF(Inputs!$D$79="ITC",Tax!G30,Tax!G39)</f>
        <v/>
      </c>
      <c r="H62" s="116">
        <f>IF(Inputs!$D$79="ITC",Tax!H30,Tax!H39)</f>
        <v/>
      </c>
      <c r="I62" s="116">
        <f>IF(Inputs!$D$79="ITC",Tax!I30,Tax!I39)</f>
        <v/>
      </c>
      <c r="J62" s="116">
        <f>IF(Inputs!$D$79="ITC",Tax!J30,Tax!J39)</f>
        <v/>
      </c>
      <c r="K62" s="116">
        <f>IF(Inputs!$D$79="ITC",Tax!K30,Tax!K39)</f>
        <v/>
      </c>
      <c r="L62" s="116">
        <f>IF(Inputs!$D$79="ITC",Tax!L30,Tax!L39)</f>
        <v/>
      </c>
      <c r="M62" s="116">
        <f>IF(Inputs!$D$79="ITC",Tax!M30,Tax!M39)</f>
        <v/>
      </c>
      <c r="N62" s="116">
        <f>IF(Inputs!$D$79="ITC",Tax!N30,Tax!N39)</f>
        <v/>
      </c>
      <c r="O62" s="116">
        <f>IF(Inputs!$D$79="ITC",Tax!O30,Tax!O39)</f>
        <v/>
      </c>
      <c r="P62" s="116">
        <f>IF(Inputs!$D$79="ITC",Tax!P30,Tax!P39)</f>
        <v/>
      </c>
      <c r="Q62" s="116">
        <f>IF(Inputs!$D$79="ITC",Tax!Q30,Tax!Q39)</f>
        <v/>
      </c>
      <c r="R62" s="116">
        <f>IF(Inputs!$D$79="ITC",Tax!R30,Tax!R39)</f>
        <v/>
      </c>
      <c r="S62" s="116">
        <f>IF(Inputs!$D$79="ITC",Tax!S30,Tax!S39)</f>
        <v/>
      </c>
      <c r="T62" s="116">
        <f>IF(Inputs!$D$79="ITC",Tax!T30,Tax!T39)</f>
        <v/>
      </c>
      <c r="U62" s="116">
        <f>IF(Inputs!$D$79="ITC",Tax!U30,Tax!U39)</f>
        <v/>
      </c>
      <c r="V62" s="116">
        <f>IF(Inputs!$D$79="ITC",Tax!V30,Tax!V39)</f>
        <v/>
      </c>
      <c r="W62" s="116">
        <f>IF(Inputs!$D$79="ITC",Tax!W30,Tax!W39)</f>
        <v/>
      </c>
      <c r="X62" s="116">
        <f>IF(Inputs!$D$79="ITC",Tax!X30,Tax!X39)</f>
        <v/>
      </c>
      <c r="Y62" s="116">
        <f>IF(Inputs!$D$79="ITC",Tax!Y30,Tax!Y39)</f>
        <v/>
      </c>
      <c r="Z62" s="116">
        <f>IF(Inputs!$D$79="ITC",Tax!Z30,Tax!Z39)</f>
        <v/>
      </c>
      <c r="AA62" s="116">
        <f>IF(Inputs!$D$79="ITC",Tax!AA30,Tax!AA39)</f>
        <v/>
      </c>
      <c r="AB62" s="116">
        <f>IF(Inputs!$D$79="ITC",Tax!AB30,Tax!AB39)</f>
        <v/>
      </c>
      <c r="AC62" s="116">
        <f>IF(Inputs!$D$79="ITC",Tax!AC30,Tax!AC39)</f>
        <v/>
      </c>
      <c r="AD62" s="116">
        <f>IF(Inputs!$D$79="ITC",Tax!AD30,Tax!AD39)</f>
        <v/>
      </c>
      <c r="AE62" s="116">
        <f>IF(Inputs!$D$79="ITC",Tax!AE30,Tax!AE39)</f>
        <v/>
      </c>
      <c r="AF62" s="116">
        <f>IF(Inputs!$D$79="ITC",Tax!AF30,Tax!AF39)</f>
        <v/>
      </c>
    </row>
    <row r="63" ht="16.5" customHeight="1" s="534">
      <c r="B63" s="278" t="inlineStr">
        <is>
          <t>Taxable Income ($)</t>
        </is>
      </c>
      <c r="C63" s="194">
        <f>C60-C61-C62</f>
        <v/>
      </c>
      <c r="D63" s="194">
        <f>D60-D61-D62</f>
        <v/>
      </c>
      <c r="E63" s="194">
        <f>E60-E61-E62</f>
        <v/>
      </c>
      <c r="F63" s="194">
        <f>F60-F61-F62</f>
        <v/>
      </c>
      <c r="G63" s="194">
        <f>G60-G61-G62</f>
        <v/>
      </c>
      <c r="H63" s="194">
        <f>H60-H61-H62</f>
        <v/>
      </c>
      <c r="I63" s="194">
        <f>I60-I61-I62</f>
        <v/>
      </c>
      <c r="J63" s="194">
        <f>J60-J61-J62</f>
        <v/>
      </c>
      <c r="K63" s="194">
        <f>K60-K61-K62</f>
        <v/>
      </c>
      <c r="L63" s="194">
        <f>L60-L61-L62</f>
        <v/>
      </c>
      <c r="M63" s="194">
        <f>M60-M61-M62</f>
        <v/>
      </c>
      <c r="N63" s="194">
        <f>N60-N61-N62</f>
        <v/>
      </c>
      <c r="O63" s="194">
        <f>O60-O61-O62</f>
        <v/>
      </c>
      <c r="P63" s="194">
        <f>P60-P61-P62</f>
        <v/>
      </c>
      <c r="Q63" s="194">
        <f>Q60-Q61-Q62</f>
        <v/>
      </c>
      <c r="R63" s="194">
        <f>R60-R61-R62</f>
        <v/>
      </c>
      <c r="S63" s="194">
        <f>S60-S61-S62</f>
        <v/>
      </c>
      <c r="T63" s="194">
        <f>T60-T61-T62</f>
        <v/>
      </c>
      <c r="U63" s="194">
        <f>U60-U61-U62</f>
        <v/>
      </c>
      <c r="V63" s="194">
        <f>V60-V61-V62</f>
        <v/>
      </c>
      <c r="W63" s="194">
        <f>W60-W61-W62</f>
        <v/>
      </c>
      <c r="X63" s="194">
        <f>X60-X61-X62</f>
        <v/>
      </c>
      <c r="Y63" s="194">
        <f>Y60-Y61-Y62</f>
        <v/>
      </c>
      <c r="Z63" s="194">
        <f>Z60-Z61-Z62</f>
        <v/>
      </c>
      <c r="AA63" s="194">
        <f>AA60-AA61-AA62</f>
        <v/>
      </c>
      <c r="AB63" s="194">
        <f>AB60-AB61-AB62</f>
        <v/>
      </c>
      <c r="AC63" s="194">
        <f>AC60-AC61-AC62</f>
        <v/>
      </c>
      <c r="AD63" s="194">
        <f>AD60-AD61-AD62</f>
        <v/>
      </c>
      <c r="AE63" s="194">
        <f>AE60-AE61-AE62</f>
        <v/>
      </c>
      <c r="AF63" s="194">
        <f>AF60-AF61-AF62</f>
        <v/>
      </c>
    </row>
    <row r="64" ht="16.5" customHeight="1" s="534">
      <c r="B64" s="251" t="inlineStr">
        <is>
          <t>Net Operating Loss (NOL) Beginning Balance</t>
        </is>
      </c>
      <c r="C64" s="116">
        <f>0</f>
        <v/>
      </c>
      <c r="D64" s="116">
        <f>C67</f>
        <v/>
      </c>
      <c r="E64" s="116">
        <f>D67</f>
        <v/>
      </c>
      <c r="F64" s="116">
        <f>E67</f>
        <v/>
      </c>
      <c r="G64" s="116">
        <f>F67</f>
        <v/>
      </c>
      <c r="H64" s="116">
        <f>G67</f>
        <v/>
      </c>
      <c r="I64" s="116">
        <f>H67</f>
        <v/>
      </c>
      <c r="J64" s="116">
        <f>I67</f>
        <v/>
      </c>
      <c r="K64" s="116">
        <f>J67</f>
        <v/>
      </c>
      <c r="L64" s="116">
        <f>K67</f>
        <v/>
      </c>
      <c r="M64" s="116">
        <f>L67</f>
        <v/>
      </c>
      <c r="N64" s="116">
        <f>M67</f>
        <v/>
      </c>
      <c r="O64" s="116">
        <f>N67</f>
        <v/>
      </c>
      <c r="P64" s="116">
        <f>O67</f>
        <v/>
      </c>
      <c r="Q64" s="116">
        <f>P67</f>
        <v/>
      </c>
      <c r="R64" s="116">
        <f>Q67</f>
        <v/>
      </c>
      <c r="S64" s="116">
        <f>R67</f>
        <v/>
      </c>
      <c r="T64" s="116">
        <f>S67</f>
        <v/>
      </c>
      <c r="U64" s="116">
        <f>T67</f>
        <v/>
      </c>
      <c r="V64" s="116">
        <f>U67</f>
        <v/>
      </c>
      <c r="W64" s="116">
        <f>V67</f>
        <v/>
      </c>
      <c r="X64" s="116">
        <f>W67</f>
        <v/>
      </c>
      <c r="Y64" s="116">
        <f>X67</f>
        <v/>
      </c>
      <c r="Z64" s="116">
        <f>Y67</f>
        <v/>
      </c>
      <c r="AA64" s="116">
        <f>Z67</f>
        <v/>
      </c>
      <c r="AB64" s="116">
        <f>AA67</f>
        <v/>
      </c>
      <c r="AC64" s="116">
        <f>AB67</f>
        <v/>
      </c>
      <c r="AD64" s="116">
        <f>AC67</f>
        <v/>
      </c>
      <c r="AE64" s="116">
        <f>AD67</f>
        <v/>
      </c>
      <c r="AF64" s="116">
        <f>AE67</f>
        <v/>
      </c>
    </row>
    <row r="65" ht="16.5" customHeight="1" s="534">
      <c r="B65" s="278" t="inlineStr">
        <is>
          <t>NOL Generated</t>
        </is>
      </c>
      <c r="C65" s="194">
        <f>MAX(-C63,0)</f>
        <v/>
      </c>
      <c r="D65" s="194">
        <f>MAX(-D63,0)</f>
        <v/>
      </c>
      <c r="E65" s="194">
        <f>MAX(-E63,0)</f>
        <v/>
      </c>
      <c r="F65" s="194">
        <f>MAX(-F63,0)</f>
        <v/>
      </c>
      <c r="G65" s="194">
        <f>MAX(-G63,0)</f>
        <v/>
      </c>
      <c r="H65" s="194">
        <f>MAX(-H63,0)</f>
        <v/>
      </c>
      <c r="I65" s="194">
        <f>MAX(-I63,0)</f>
        <v/>
      </c>
      <c r="J65" s="194">
        <f>MAX(-J63,0)</f>
        <v/>
      </c>
      <c r="K65" s="194">
        <f>MAX(-K63,0)</f>
        <v/>
      </c>
      <c r="L65" s="194">
        <f>MAX(-L63,0)</f>
        <v/>
      </c>
      <c r="M65" s="194">
        <f>MAX(-M63,0)</f>
        <v/>
      </c>
      <c r="N65" s="194">
        <f>MAX(-N63,0)</f>
        <v/>
      </c>
      <c r="O65" s="194">
        <f>MAX(-O63,0)</f>
        <v/>
      </c>
      <c r="P65" s="194">
        <f>MAX(-P63,0)</f>
        <v/>
      </c>
      <c r="Q65" s="194">
        <f>MAX(-Q63,0)</f>
        <v/>
      </c>
      <c r="R65" s="194">
        <f>MAX(-R63,0)</f>
        <v/>
      </c>
      <c r="S65" s="194">
        <f>MAX(-S63,0)</f>
        <v/>
      </c>
      <c r="T65" s="194">
        <f>MAX(-T63,0)</f>
        <v/>
      </c>
      <c r="U65" s="194">
        <f>MAX(-U63,0)</f>
        <v/>
      </c>
      <c r="V65" s="194">
        <f>MAX(-V63,0)</f>
        <v/>
      </c>
      <c r="W65" s="194">
        <f>MAX(-W63,0)</f>
        <v/>
      </c>
      <c r="X65" s="194">
        <f>MAX(-X63,0)</f>
        <v/>
      </c>
      <c r="Y65" s="194">
        <f>MAX(-Y63,0)</f>
        <v/>
      </c>
      <c r="Z65" s="194">
        <f>MAX(-Z63,0)</f>
        <v/>
      </c>
      <c r="AA65" s="194">
        <f>MAX(-AA63,0)</f>
        <v/>
      </c>
      <c r="AB65" s="194">
        <f>MAX(-AB63,0)</f>
        <v/>
      </c>
      <c r="AC65" s="194">
        <f>MAX(-AC63,0)</f>
        <v/>
      </c>
      <c r="AD65" s="194">
        <f>MAX(-AD63,0)</f>
        <v/>
      </c>
      <c r="AE65" s="194">
        <f>MAX(-AE63,0)</f>
        <v/>
      </c>
      <c r="AF65" s="194">
        <f>MAX(-AF63,0)</f>
        <v/>
      </c>
    </row>
    <row r="66" ht="16.5" customHeight="1" s="534">
      <c r="B66" s="251" t="inlineStr">
        <is>
          <t>NOL Utilized</t>
        </is>
      </c>
      <c r="C66" s="116">
        <f>IF(C63&gt;0,MIN(C64,0.8*C63),0)</f>
        <v/>
      </c>
      <c r="D66" s="116">
        <f>IF(D63&gt;0,MIN(D64,0.8*D63),0)</f>
        <v/>
      </c>
      <c r="E66" s="116">
        <f>IF(E63&gt;0,MIN(E64,0.8*E63),0)</f>
        <v/>
      </c>
      <c r="F66" s="116">
        <f>IF(F63&gt;0,MIN(F64,0.8*F63),0)</f>
        <v/>
      </c>
      <c r="G66" s="116">
        <f>IF(G63&gt;0,MIN(G64,0.8*G63),0)</f>
        <v/>
      </c>
      <c r="H66" s="116">
        <f>IF(H63&gt;0,MIN(H64,0.8*H63),0)</f>
        <v/>
      </c>
      <c r="I66" s="116">
        <f>IF(I63&gt;0,MIN(I64,0.8*I63),0)</f>
        <v/>
      </c>
      <c r="J66" s="116">
        <f>IF(J63&gt;0,MIN(J64,0.8*J63),0)</f>
        <v/>
      </c>
      <c r="K66" s="116">
        <f>IF(K63&gt;0,MIN(K64,0.8*K63),0)</f>
        <v/>
      </c>
      <c r="L66" s="116">
        <f>IF(L63&gt;0,MIN(L64,0.8*L63),0)</f>
        <v/>
      </c>
      <c r="M66" s="116">
        <f>IF(M63&gt;0,MIN(M64,0.8*M63),0)</f>
        <v/>
      </c>
      <c r="N66" s="116">
        <f>IF(N63&gt;0,MIN(N64,0.8*N63),0)</f>
        <v/>
      </c>
      <c r="O66" s="116">
        <f>IF(O63&gt;0,MIN(O64,0.8*O63),0)</f>
        <v/>
      </c>
      <c r="P66" s="116">
        <f>IF(P63&gt;0,MIN(P64,0.8*P63),0)</f>
        <v/>
      </c>
      <c r="Q66" s="116">
        <f>IF(Q63&gt;0,MIN(Q64,0.8*Q63),0)</f>
        <v/>
      </c>
      <c r="R66" s="116">
        <f>IF(R63&gt;0,MIN(R64,0.8*R63),0)</f>
        <v/>
      </c>
      <c r="S66" s="116">
        <f>IF(S63&gt;0,MIN(S64,0.8*S63),0)</f>
        <v/>
      </c>
      <c r="T66" s="116">
        <f>IF(T63&gt;0,MIN(T64,0.8*T63),0)</f>
        <v/>
      </c>
      <c r="U66" s="116">
        <f>IF(U63&gt;0,MIN(U64,0.8*U63),0)</f>
        <v/>
      </c>
      <c r="V66" s="116">
        <f>IF(V63&gt;0,MIN(V64,0.8*V63),0)</f>
        <v/>
      </c>
      <c r="W66" s="116">
        <f>IF(W63&gt;0,MIN(W64,0.8*W63),0)</f>
        <v/>
      </c>
      <c r="X66" s="116">
        <f>IF(X63&gt;0,MIN(X64,0.8*X63),0)</f>
        <v/>
      </c>
      <c r="Y66" s="116">
        <f>IF(Y63&gt;0,MIN(Y64,0.8*Y63),0)</f>
        <v/>
      </c>
      <c r="Z66" s="116">
        <f>IF(Z63&gt;0,MIN(Z64,0.8*Z63),0)</f>
        <v/>
      </c>
      <c r="AA66" s="116">
        <f>IF(AA63&gt;0,MIN(AA64,0.8*AA63),0)</f>
        <v/>
      </c>
      <c r="AB66" s="116">
        <f>IF(AB63&gt;0,MIN(AB64,0.8*AB63),0)</f>
        <v/>
      </c>
      <c r="AC66" s="116">
        <f>IF(AC63&gt;0,MIN(AC64,0.8*AC63),0)</f>
        <v/>
      </c>
      <c r="AD66" s="116">
        <f>IF(AD63&gt;0,MIN(AD64,0.8*AD63),0)</f>
        <v/>
      </c>
      <c r="AE66" s="116">
        <f>IF(AE63&gt;0,MIN(AE64,0.8*AE63),0)</f>
        <v/>
      </c>
      <c r="AF66" s="116">
        <f>IF(AF63&gt;0,MIN(AF64,0.8*AF63),0)</f>
        <v/>
      </c>
    </row>
    <row r="67" ht="16.5" customHeight="1" s="534">
      <c r="B67" s="278" t="inlineStr">
        <is>
          <t>NOL Ending Balance</t>
        </is>
      </c>
      <c r="C67" s="194">
        <f>C64+C65-C66</f>
        <v/>
      </c>
      <c r="D67" s="194">
        <f>D64+D65-D66</f>
        <v/>
      </c>
      <c r="E67" s="194">
        <f>E64+E65-E66</f>
        <v/>
      </c>
      <c r="F67" s="194">
        <f>F64+F65-F66</f>
        <v/>
      </c>
      <c r="G67" s="194">
        <f>G64+G65-G66</f>
        <v/>
      </c>
      <c r="H67" s="194">
        <f>H64+H65-H66</f>
        <v/>
      </c>
      <c r="I67" s="194">
        <f>I64+I65-I66</f>
        <v/>
      </c>
      <c r="J67" s="194">
        <f>J64+J65-J66</f>
        <v/>
      </c>
      <c r="K67" s="194">
        <f>K64+K65-K66</f>
        <v/>
      </c>
      <c r="L67" s="194">
        <f>L64+L65-L66</f>
        <v/>
      </c>
      <c r="M67" s="194">
        <f>M64+M65-M66</f>
        <v/>
      </c>
      <c r="N67" s="194">
        <f>N64+N65-N66</f>
        <v/>
      </c>
      <c r="O67" s="194">
        <f>O64+O65-O66</f>
        <v/>
      </c>
      <c r="P67" s="194">
        <f>P64+P65-P66</f>
        <v/>
      </c>
      <c r="Q67" s="194">
        <f>Q64+Q65-Q66</f>
        <v/>
      </c>
      <c r="R67" s="194">
        <f>R64+R65-R66</f>
        <v/>
      </c>
      <c r="S67" s="194">
        <f>S64+S65-S66</f>
        <v/>
      </c>
      <c r="T67" s="194">
        <f>T64+T65-T66</f>
        <v/>
      </c>
      <c r="U67" s="194">
        <f>U64+U65-U66</f>
        <v/>
      </c>
      <c r="V67" s="194">
        <f>V64+V65-V66</f>
        <v/>
      </c>
      <c r="W67" s="194">
        <f>W64+W65-W66</f>
        <v/>
      </c>
      <c r="X67" s="194">
        <f>X64+X65-X66</f>
        <v/>
      </c>
      <c r="Y67" s="194">
        <f>Y64+Y65-Y66</f>
        <v/>
      </c>
      <c r="Z67" s="194">
        <f>Z64+Z65-Z66</f>
        <v/>
      </c>
      <c r="AA67" s="194">
        <f>AA64+AA65-AA66</f>
        <v/>
      </c>
      <c r="AB67" s="194">
        <f>AB64+AB65-AB66</f>
        <v/>
      </c>
      <c r="AC67" s="194">
        <f>AC64+AC65-AC66</f>
        <v/>
      </c>
      <c r="AD67" s="194">
        <f>AD64+AD65-AD66</f>
        <v/>
      </c>
      <c r="AE67" s="194">
        <f>AE64+AE65-AE66</f>
        <v/>
      </c>
      <c r="AF67" s="194">
        <f>AF64+AF65-AF66</f>
        <v/>
      </c>
    </row>
    <row r="68" ht="16.5" customHeight="1" s="534">
      <c r="B68" s="251" t="inlineStr">
        <is>
          <t>Taxable Income After NOL</t>
        </is>
      </c>
      <c r="C68" s="116">
        <f>C63-C66</f>
        <v/>
      </c>
      <c r="D68" s="116">
        <f>D63-D66</f>
        <v/>
      </c>
      <c r="E68" s="116">
        <f>E63-E66</f>
        <v/>
      </c>
      <c r="F68" s="116">
        <f>F63-F66</f>
        <v/>
      </c>
      <c r="G68" s="116">
        <f>G63-G66</f>
        <v/>
      </c>
      <c r="H68" s="116">
        <f>H63-H66</f>
        <v/>
      </c>
      <c r="I68" s="116">
        <f>I63-I66</f>
        <v/>
      </c>
      <c r="J68" s="116">
        <f>J63-J66</f>
        <v/>
      </c>
      <c r="K68" s="116">
        <f>K63-K66</f>
        <v/>
      </c>
      <c r="L68" s="116">
        <f>L63-L66</f>
        <v/>
      </c>
      <c r="M68" s="116">
        <f>M63-M66</f>
        <v/>
      </c>
      <c r="N68" s="116">
        <f>N63-N66</f>
        <v/>
      </c>
      <c r="O68" s="116">
        <f>O63-O66</f>
        <v/>
      </c>
      <c r="P68" s="116">
        <f>P63-P66</f>
        <v/>
      </c>
      <c r="Q68" s="116">
        <f>Q63-Q66</f>
        <v/>
      </c>
      <c r="R68" s="116">
        <f>R63-R66</f>
        <v/>
      </c>
      <c r="S68" s="116">
        <f>S63-S66</f>
        <v/>
      </c>
      <c r="T68" s="116">
        <f>T63-T66</f>
        <v/>
      </c>
      <c r="U68" s="116">
        <f>U63-U66</f>
        <v/>
      </c>
      <c r="V68" s="116">
        <f>V63-V66</f>
        <v/>
      </c>
      <c r="W68" s="116">
        <f>W63-W66</f>
        <v/>
      </c>
      <c r="X68" s="116">
        <f>X63-X66</f>
        <v/>
      </c>
      <c r="Y68" s="116">
        <f>Y63-Y66</f>
        <v/>
      </c>
      <c r="Z68" s="116">
        <f>Z63-Z66</f>
        <v/>
      </c>
      <c r="AA68" s="116">
        <f>AA63-AA66</f>
        <v/>
      </c>
      <c r="AB68" s="116">
        <f>AB63-AB66</f>
        <v/>
      </c>
      <c r="AC68" s="116">
        <f>AC63-AC66</f>
        <v/>
      </c>
      <c r="AD68" s="116">
        <f>AD63-AD66</f>
        <v/>
      </c>
      <c r="AE68" s="116">
        <f>AE63-AE66</f>
        <v/>
      </c>
      <c r="AF68" s="116">
        <f>AF63-AF66</f>
        <v/>
      </c>
    </row>
    <row r="69" ht="16.5" customHeight="1" s="534">
      <c r="B69" s="278" t="inlineStr">
        <is>
          <t>Pre-Credit Tax ($)</t>
        </is>
      </c>
      <c r="C69" s="194">
        <f>MAX(C68*Inputs!$D$89,0)</f>
        <v/>
      </c>
      <c r="D69" s="194">
        <f>MAX(D68*Inputs!$D$89,0)</f>
        <v/>
      </c>
      <c r="E69" s="194">
        <f>MAX(E68*Inputs!$D$89,0)</f>
        <v/>
      </c>
      <c r="F69" s="194">
        <f>MAX(F68*Inputs!$D$89,0)</f>
        <v/>
      </c>
      <c r="G69" s="194">
        <f>MAX(G68*Inputs!$D$89,0)</f>
        <v/>
      </c>
      <c r="H69" s="194">
        <f>MAX(H68*Inputs!$D$89,0)</f>
        <v/>
      </c>
      <c r="I69" s="194">
        <f>MAX(I68*Inputs!$D$89,0)</f>
        <v/>
      </c>
      <c r="J69" s="194">
        <f>MAX(J68*Inputs!$D$89,0)</f>
        <v/>
      </c>
      <c r="K69" s="194">
        <f>MAX(K68*Inputs!$D$89,0)</f>
        <v/>
      </c>
      <c r="L69" s="194">
        <f>MAX(L68*Inputs!$D$89,0)</f>
        <v/>
      </c>
      <c r="M69" s="194">
        <f>MAX(M68*Inputs!$D$89,0)</f>
        <v/>
      </c>
      <c r="N69" s="194">
        <f>MAX(N68*Inputs!$D$89,0)</f>
        <v/>
      </c>
      <c r="O69" s="194">
        <f>MAX(O68*Inputs!$D$89,0)</f>
        <v/>
      </c>
      <c r="P69" s="194">
        <f>MAX(P68*Inputs!$D$89,0)</f>
        <v/>
      </c>
      <c r="Q69" s="194">
        <f>MAX(Q68*Inputs!$D$89,0)</f>
        <v/>
      </c>
      <c r="R69" s="194">
        <f>MAX(R68*Inputs!$D$89,0)</f>
        <v/>
      </c>
      <c r="S69" s="194">
        <f>MAX(S68*Inputs!$D$89,0)</f>
        <v/>
      </c>
      <c r="T69" s="194">
        <f>MAX(T68*Inputs!$D$89,0)</f>
        <v/>
      </c>
      <c r="U69" s="194">
        <f>MAX(U68*Inputs!$D$89,0)</f>
        <v/>
      </c>
      <c r="V69" s="194">
        <f>MAX(V68*Inputs!$D$89,0)</f>
        <v/>
      </c>
      <c r="W69" s="194">
        <f>MAX(W68*Inputs!$D$89,0)</f>
        <v/>
      </c>
      <c r="X69" s="194">
        <f>MAX(X68*Inputs!$D$89,0)</f>
        <v/>
      </c>
      <c r="Y69" s="194">
        <f>MAX(Y68*Inputs!$D$89,0)</f>
        <v/>
      </c>
      <c r="Z69" s="194">
        <f>MAX(Z68*Inputs!$D$89,0)</f>
        <v/>
      </c>
      <c r="AA69" s="194">
        <f>MAX(AA68*Inputs!$D$89,0)</f>
        <v/>
      </c>
      <c r="AB69" s="194">
        <f>MAX(AB68*Inputs!$D$89,0)</f>
        <v/>
      </c>
      <c r="AC69" s="194">
        <f>MAX(AC68*Inputs!$D$89,0)</f>
        <v/>
      </c>
      <c r="AD69" s="194">
        <f>MAX(AD68*Inputs!$D$89,0)</f>
        <v/>
      </c>
      <c r="AE69" s="194">
        <f>MAX(AE68*Inputs!$D$89,0)</f>
        <v/>
      </c>
      <c r="AF69" s="194">
        <f>MAX(AF68*Inputs!$D$89,0)</f>
        <v/>
      </c>
    </row>
    <row r="70" ht="16.5" customHeight="1" s="534">
      <c r="B70" s="251" t="inlineStr">
        <is>
          <t>PTC Applied ($)</t>
        </is>
      </c>
      <c r="C70" s="116">
        <f>IF(Inputs!$D$79="PTC",Tax!C24,0)</f>
        <v/>
      </c>
      <c r="D70" s="116">
        <f>IF(Inputs!$D$79="PTC",Tax!D24,0)</f>
        <v/>
      </c>
      <c r="E70" s="116">
        <f>IF(Inputs!$D$79="PTC",Tax!E24,0)</f>
        <v/>
      </c>
      <c r="F70" s="116">
        <f>IF(Inputs!$D$79="PTC",Tax!F24,0)</f>
        <v/>
      </c>
      <c r="G70" s="116">
        <f>IF(Inputs!$D$79="PTC",Tax!G24,0)</f>
        <v/>
      </c>
      <c r="H70" s="116">
        <f>IF(Inputs!$D$79="PTC",Tax!H24,0)</f>
        <v/>
      </c>
      <c r="I70" s="116">
        <f>IF(Inputs!$D$79="PTC",Tax!I24,0)</f>
        <v/>
      </c>
      <c r="J70" s="116">
        <f>IF(Inputs!$D$79="PTC",Tax!J24,0)</f>
        <v/>
      </c>
      <c r="K70" s="116">
        <f>IF(Inputs!$D$79="PTC",Tax!K24,0)</f>
        <v/>
      </c>
      <c r="L70" s="116">
        <f>IF(Inputs!$D$79="PTC",Tax!L24,0)</f>
        <v/>
      </c>
      <c r="M70" s="116">
        <f>IF(Inputs!$D$79="PTC",Tax!M24,0)</f>
        <v/>
      </c>
      <c r="N70" s="116">
        <f>IF(Inputs!$D$79="PTC",Tax!N24,0)</f>
        <v/>
      </c>
      <c r="O70" s="116">
        <f>IF(Inputs!$D$79="PTC",Tax!O24,0)</f>
        <v/>
      </c>
      <c r="P70" s="116">
        <f>IF(Inputs!$D$79="PTC",Tax!P24,0)</f>
        <v/>
      </c>
      <c r="Q70" s="116">
        <f>IF(Inputs!$D$79="PTC",Tax!Q24,0)</f>
        <v/>
      </c>
      <c r="R70" s="116">
        <f>IF(Inputs!$D$79="PTC",Tax!R24,0)</f>
        <v/>
      </c>
      <c r="S70" s="116">
        <f>IF(Inputs!$D$79="PTC",Tax!S24,0)</f>
        <v/>
      </c>
      <c r="T70" s="116">
        <f>IF(Inputs!$D$79="PTC",Tax!T24,0)</f>
        <v/>
      </c>
      <c r="U70" s="116">
        <f>IF(Inputs!$D$79="PTC",Tax!U24,0)</f>
        <v/>
      </c>
      <c r="V70" s="116">
        <f>IF(Inputs!$D$79="PTC",Tax!V24,0)</f>
        <v/>
      </c>
      <c r="W70" s="116">
        <f>IF(Inputs!$D$79="PTC",Tax!W24,0)</f>
        <v/>
      </c>
      <c r="X70" s="116">
        <f>IF(Inputs!$D$79="PTC",Tax!X24,0)</f>
        <v/>
      </c>
      <c r="Y70" s="116">
        <f>IF(Inputs!$D$79="PTC",Tax!Y24,0)</f>
        <v/>
      </c>
      <c r="Z70" s="116">
        <f>IF(Inputs!$D$79="PTC",Tax!Z24,0)</f>
        <v/>
      </c>
      <c r="AA70" s="116">
        <f>IF(Inputs!$D$79="PTC",Tax!AA24,0)</f>
        <v/>
      </c>
      <c r="AB70" s="116">
        <f>IF(Inputs!$D$79="PTC",Tax!AB24,0)</f>
        <v/>
      </c>
      <c r="AC70" s="116">
        <f>IF(Inputs!$D$79="PTC",Tax!AC24,0)</f>
        <v/>
      </c>
      <c r="AD70" s="116">
        <f>IF(Inputs!$D$79="PTC",Tax!AD24,0)</f>
        <v/>
      </c>
      <c r="AE70" s="116">
        <f>IF(Inputs!$D$79="PTC",Tax!AE24,0)</f>
        <v/>
      </c>
      <c r="AF70" s="116">
        <f>IF(Inputs!$D$79="PTC",Tax!AF24,0)</f>
        <v/>
      </c>
    </row>
    <row r="71" ht="18" customHeight="1" s="534">
      <c r="B71" s="274" t="inlineStr">
        <is>
          <t>Net Tax Liability ($)</t>
        </is>
      </c>
      <c r="C71" s="275">
        <f>MAX(C69-C70,0)</f>
        <v/>
      </c>
      <c r="D71" s="275">
        <f>MAX(D69-D70,0)</f>
        <v/>
      </c>
      <c r="E71" s="275">
        <f>MAX(E69-E70,0)</f>
        <v/>
      </c>
      <c r="F71" s="275">
        <f>MAX(F69-F70,0)</f>
        <v/>
      </c>
      <c r="G71" s="275">
        <f>MAX(G69-G70,0)</f>
        <v/>
      </c>
      <c r="H71" s="275">
        <f>MAX(H69-H70,0)</f>
        <v/>
      </c>
      <c r="I71" s="275">
        <f>MAX(I69-I70,0)</f>
        <v/>
      </c>
      <c r="J71" s="275">
        <f>MAX(J69-J70,0)</f>
        <v/>
      </c>
      <c r="K71" s="275">
        <f>MAX(K69-K70,0)</f>
        <v/>
      </c>
      <c r="L71" s="275">
        <f>MAX(L69-L70,0)</f>
        <v/>
      </c>
      <c r="M71" s="275">
        <f>MAX(M69-M70,0)</f>
        <v/>
      </c>
      <c r="N71" s="275">
        <f>MAX(N69-N70,0)</f>
        <v/>
      </c>
      <c r="O71" s="275">
        <f>MAX(O69-O70,0)</f>
        <v/>
      </c>
      <c r="P71" s="275">
        <f>MAX(P69-P70,0)</f>
        <v/>
      </c>
      <c r="Q71" s="275">
        <f>MAX(Q69-Q70,0)</f>
        <v/>
      </c>
      <c r="R71" s="275">
        <f>MAX(R69-R70,0)</f>
        <v/>
      </c>
      <c r="S71" s="275">
        <f>MAX(S69-S70,0)</f>
        <v/>
      </c>
      <c r="T71" s="275">
        <f>MAX(T69-T70,0)</f>
        <v/>
      </c>
      <c r="U71" s="275">
        <f>MAX(U69-U70,0)</f>
        <v/>
      </c>
      <c r="V71" s="275">
        <f>MAX(V69-V70,0)</f>
        <v/>
      </c>
      <c r="W71" s="275">
        <f>MAX(W69-W70,0)</f>
        <v/>
      </c>
      <c r="X71" s="275">
        <f>MAX(X69-X70,0)</f>
        <v/>
      </c>
      <c r="Y71" s="275">
        <f>MAX(Y69-Y70,0)</f>
        <v/>
      </c>
      <c r="Z71" s="275">
        <f>MAX(Z69-Z70,0)</f>
        <v/>
      </c>
      <c r="AA71" s="275">
        <f>MAX(AA69-AA70,0)</f>
        <v/>
      </c>
      <c r="AB71" s="275">
        <f>MAX(AB69-AB70,0)</f>
        <v/>
      </c>
      <c r="AC71" s="275">
        <f>MAX(AC69-AC70,0)</f>
        <v/>
      </c>
      <c r="AD71" s="275">
        <f>MAX(AD69-AD70,0)</f>
        <v/>
      </c>
      <c r="AE71" s="275">
        <f>MAX(AE69-AE70,0)</f>
        <v/>
      </c>
      <c r="AF71" s="275">
        <f>MAX(AF69-AF70,0)</f>
        <v/>
      </c>
    </row>
  </sheetData>
  <mergeCells count="1">
    <mergeCell ref="A1:AF1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8.xml><?xml version="1.0" encoding="utf-8"?>
<worksheet xmlns="http://schemas.openxmlformats.org/spreadsheetml/2006/main">
  <sheetPr>
    <tabColor rgb="FF1F3864"/>
    <outlinePr summaryBelow="1" summaryRight="1"/>
    <pageSetUpPr/>
  </sheetPr>
  <dimension ref="A1:AG57"/>
  <sheetViews>
    <sheetView showGridLines="0" zoomScaleNormal="100" workbookViewId="0">
      <selection activeCell="D25" sqref="D25"/>
    </sheetView>
  </sheetViews>
  <sheetFormatPr baseColWidth="8" defaultColWidth="8.7265625" defaultRowHeight="14.5"/>
  <cols>
    <col width="1.1796875" customWidth="1" style="534" min="1" max="1"/>
    <col width="33.453125" bestFit="1" customWidth="1" style="534" min="2" max="2"/>
    <col width="16.1796875" bestFit="1" customWidth="1" style="534" min="3" max="3"/>
    <col width="15.1796875" bestFit="1" customWidth="1" style="534" min="4" max="10"/>
    <col width="14.54296875" bestFit="1" customWidth="1" style="534" min="11" max="32"/>
    <col width="15.54296875" bestFit="1" customWidth="1" style="534" min="33" max="33"/>
  </cols>
  <sheetData>
    <row r="1" ht="27.75" customHeight="1" s="534" thickBot="1">
      <c r="A1" s="512" t="inlineStr">
        <is>
          <t>CASHFLOWS  —  Project IRR: 7.75%  ·  Equity IRR: 9.52%  ·  Equity Multiple: 3.33x  ·  Payback: 11 Years</t>
        </is>
      </c>
      <c r="B1" s="535" t="n"/>
      <c r="C1" s="535" t="n"/>
      <c r="D1" s="535" t="n"/>
      <c r="E1" s="535" t="n"/>
      <c r="F1" s="535" t="n"/>
      <c r="G1" s="535" t="n"/>
      <c r="H1" s="535" t="n"/>
      <c r="I1" s="535" t="n"/>
      <c r="J1" s="535" t="n"/>
      <c r="K1" s="535" t="n"/>
      <c r="L1" s="535" t="n"/>
      <c r="M1" s="535" t="n"/>
      <c r="N1" s="535" t="n"/>
      <c r="O1" s="535" t="n"/>
      <c r="P1" s="535" t="n"/>
      <c r="Q1" s="535" t="n"/>
      <c r="R1" s="535" t="n"/>
      <c r="S1" s="535" t="n"/>
      <c r="T1" s="535" t="n"/>
      <c r="U1" s="535" t="n"/>
      <c r="V1" s="535" t="n"/>
      <c r="W1" s="535" t="n"/>
      <c r="X1" s="535" t="n"/>
      <c r="Y1" s="535" t="n"/>
      <c r="Z1" s="535" t="n"/>
      <c r="AA1" s="535" t="n"/>
      <c r="AB1" s="535" t="n"/>
      <c r="AC1" s="535" t="n"/>
      <c r="AD1" s="535" t="n"/>
      <c r="AE1" s="535" t="n"/>
      <c r="AF1" s="535" t="n"/>
      <c r="AG1" s="535" t="n"/>
    </row>
    <row r="2" ht="16.5" customHeight="1" s="534">
      <c r="A2" s="383" t="inlineStr">
        <is>
          <t>Block 1 — Project Cash Flow (Unlevered)</t>
        </is>
      </c>
      <c r="B2" s="383" t="n"/>
      <c r="C2" s="383" t="n"/>
      <c r="D2" s="383" t="n"/>
      <c r="E2" s="383" t="n"/>
      <c r="F2" s="383" t="n"/>
      <c r="G2" s="383" t="n"/>
      <c r="H2" s="383" t="n"/>
      <c r="I2" s="383" t="n"/>
      <c r="J2" s="383" t="n"/>
      <c r="K2" s="383" t="n"/>
      <c r="L2" s="383" t="n"/>
      <c r="M2" s="383" t="n"/>
      <c r="N2" s="383" t="n"/>
      <c r="O2" s="383" t="n"/>
      <c r="P2" s="383" t="n"/>
      <c r="Q2" s="383" t="n"/>
      <c r="R2" s="383" t="n"/>
      <c r="S2" s="383" t="n"/>
      <c r="T2" s="383" t="n"/>
      <c r="U2" s="383" t="n"/>
      <c r="V2" s="383" t="n"/>
      <c r="W2" s="383" t="n"/>
      <c r="X2" s="383" t="n"/>
      <c r="Y2" s="383" t="n"/>
      <c r="Z2" s="383" t="n"/>
      <c r="AA2" s="383" t="n"/>
      <c r="AB2" s="383" t="n"/>
      <c r="AC2" s="383" t="n"/>
      <c r="AD2" s="383" t="n"/>
      <c r="AE2" s="383" t="n"/>
      <c r="AF2" s="383" t="n"/>
      <c r="AG2" s="383" t="n"/>
    </row>
    <row r="3" ht="16.5" customHeight="1" s="534">
      <c r="B3" s="381" t="inlineStr">
        <is>
          <t>Total Capex ($)</t>
        </is>
      </c>
      <c r="C3" s="569">
        <f>Costs!C13*-1</f>
        <v/>
      </c>
      <c r="D3" s="564" t="n"/>
      <c r="E3" s="143" t="n"/>
      <c r="F3" s="143" t="n"/>
      <c r="G3" s="143" t="n"/>
      <c r="H3" s="143" t="n"/>
      <c r="I3" s="143" t="n"/>
      <c r="J3" s="143" t="n"/>
      <c r="K3" s="143" t="n"/>
      <c r="L3" s="143" t="n"/>
      <c r="M3" s="143" t="n"/>
      <c r="N3" s="143" t="n"/>
      <c r="O3" s="143" t="n"/>
      <c r="P3" s="143" t="n"/>
      <c r="Q3" s="143" t="n"/>
      <c r="R3" s="143" t="n"/>
      <c r="S3" s="143" t="n"/>
      <c r="T3" s="143" t="n"/>
      <c r="U3" s="143" t="n"/>
      <c r="V3" s="143" t="n"/>
      <c r="W3" s="143" t="n"/>
      <c r="X3" s="143" t="n"/>
      <c r="Y3" s="143" t="n"/>
      <c r="Z3" s="143" t="n"/>
      <c r="AA3" s="143" t="n"/>
      <c r="AB3" s="143" t="n"/>
      <c r="AC3" s="143" t="n"/>
      <c r="AD3" s="143" t="n"/>
      <c r="AE3" s="143" t="n"/>
      <c r="AF3" s="143" t="n"/>
      <c r="AG3" s="143" t="n"/>
    </row>
    <row r="4" ht="16.5" customHeight="1" s="534">
      <c r="B4" s="251" t="inlineStr">
        <is>
          <t>ITC Cash Proceeds ($)</t>
        </is>
      </c>
      <c r="C4" s="570">
        <f>IF(Inputs!$D$79="ITC",Tax!$C$10,0)</f>
        <v/>
      </c>
      <c r="D4" s="564" t="n"/>
      <c r="E4" s="143" t="n"/>
      <c r="F4" s="143" t="n"/>
      <c r="G4" s="143" t="n"/>
      <c r="H4" s="143" t="n"/>
      <c r="I4" s="143" t="n"/>
      <c r="J4" s="143" t="n"/>
      <c r="K4" s="143" t="n"/>
      <c r="L4" s="143" t="n"/>
      <c r="M4" s="143" t="n"/>
      <c r="N4" s="143" t="n"/>
      <c r="O4" s="143" t="n"/>
      <c r="P4" s="143" t="n"/>
      <c r="Q4" s="143" t="n"/>
      <c r="R4" s="143" t="n"/>
      <c r="S4" s="143" t="n"/>
      <c r="T4" s="143" t="n"/>
      <c r="U4" s="143" t="n"/>
      <c r="V4" s="143" t="n"/>
      <c r="W4" s="143" t="n"/>
      <c r="X4" s="143" t="n"/>
      <c r="Y4" s="143" t="n"/>
      <c r="Z4" s="143" t="n"/>
      <c r="AA4" s="143" t="n"/>
      <c r="AB4" s="143" t="n"/>
      <c r="AC4" s="143" t="n"/>
      <c r="AD4" s="143" t="n"/>
      <c r="AE4" s="143" t="n"/>
      <c r="AF4" s="143" t="n"/>
      <c r="AG4" s="143" t="n"/>
    </row>
    <row r="5" ht="18" customHeight="1" s="534">
      <c r="B5" s="351" t="inlineStr">
        <is>
          <t>Net Investment at Close ($)</t>
        </is>
      </c>
      <c r="C5" s="571">
        <f>C3+C4</f>
        <v/>
      </c>
      <c r="D5" s="566" t="n"/>
      <c r="E5" s="156" t="n"/>
      <c r="F5" s="156" t="n"/>
      <c r="G5" s="156" t="n"/>
      <c r="H5" s="156" t="n"/>
      <c r="I5" s="156" t="n"/>
      <c r="J5" s="156" t="n"/>
      <c r="K5" s="156" t="n"/>
      <c r="L5" s="156" t="n"/>
      <c r="M5" s="156" t="n"/>
      <c r="N5" s="156" t="n"/>
      <c r="O5" s="156" t="n"/>
      <c r="P5" s="156" t="n"/>
      <c r="Q5" s="156" t="n"/>
      <c r="R5" s="156" t="n"/>
      <c r="S5" s="156" t="n"/>
      <c r="T5" s="156" t="n"/>
      <c r="U5" s="156" t="n"/>
      <c r="V5" s="156" t="n"/>
      <c r="W5" s="156" t="n"/>
      <c r="X5" s="156" t="n"/>
      <c r="Y5" s="156" t="n"/>
      <c r="Z5" s="156" t="n"/>
      <c r="AA5" s="156" t="n"/>
      <c r="AB5" s="156" t="n"/>
      <c r="AC5" s="156" t="n"/>
      <c r="AD5" s="156" t="n"/>
      <c r="AE5" s="156" t="n"/>
      <c r="AF5" s="156" t="n"/>
      <c r="AG5" s="156" t="n"/>
    </row>
    <row r="6" ht="18" customHeight="1" s="534">
      <c r="B6" s="318" t="inlineStr">
        <is>
          <t>Year N Production</t>
        </is>
      </c>
      <c r="C6" s="318" t="n">
        <v>0</v>
      </c>
      <c r="D6" s="318" t="n">
        <v>1</v>
      </c>
      <c r="E6" s="318" t="n">
        <v>2</v>
      </c>
      <c r="F6" s="318" t="n">
        <v>3</v>
      </c>
      <c r="G6" s="318" t="n">
        <v>4</v>
      </c>
      <c r="H6" s="318" t="n">
        <v>5</v>
      </c>
      <c r="I6" s="318" t="n">
        <v>6</v>
      </c>
      <c r="J6" s="318" t="n">
        <v>7</v>
      </c>
      <c r="K6" s="318" t="n">
        <v>8</v>
      </c>
      <c r="L6" s="318" t="n">
        <v>9</v>
      </c>
      <c r="M6" s="318" t="n">
        <v>10</v>
      </c>
      <c r="N6" s="318" t="n">
        <v>11</v>
      </c>
      <c r="O6" s="318" t="n">
        <v>12</v>
      </c>
      <c r="P6" s="318" t="n">
        <v>13</v>
      </c>
      <c r="Q6" s="318" t="n">
        <v>14</v>
      </c>
      <c r="R6" s="318" t="n">
        <v>15</v>
      </c>
      <c r="S6" s="318" t="n">
        <v>16</v>
      </c>
      <c r="T6" s="318" t="n">
        <v>17</v>
      </c>
      <c r="U6" s="318" t="n">
        <v>18</v>
      </c>
      <c r="V6" s="318" t="n">
        <v>19</v>
      </c>
      <c r="W6" s="318" t="n">
        <v>20</v>
      </c>
      <c r="X6" s="318" t="n">
        <v>21</v>
      </c>
      <c r="Y6" s="318" t="n">
        <v>22</v>
      </c>
      <c r="Z6" s="318" t="n">
        <v>23</v>
      </c>
      <c r="AA6" s="318" t="n">
        <v>24</v>
      </c>
      <c r="AB6" s="318" t="n">
        <v>25</v>
      </c>
      <c r="AC6" s="318" t="n">
        <v>26</v>
      </c>
      <c r="AD6" s="318" t="n">
        <v>27</v>
      </c>
      <c r="AE6" s="318" t="n">
        <v>28</v>
      </c>
      <c r="AF6" s="318" t="n">
        <v>29</v>
      </c>
      <c r="AG6" s="318" t="n">
        <v>30</v>
      </c>
    </row>
    <row r="7" ht="16.5" customFormat="1" customHeight="1" s="218">
      <c r="B7" s="353" t="inlineStr">
        <is>
          <t>Total Revenue ($)</t>
        </is>
      </c>
      <c r="C7" s="572" t="n">
        <v>0</v>
      </c>
      <c r="D7" s="572">
        <f>Revenue!C50</f>
        <v/>
      </c>
      <c r="E7" s="572">
        <f>Revenue!D50</f>
        <v/>
      </c>
      <c r="F7" s="572">
        <f>Revenue!E50</f>
        <v/>
      </c>
      <c r="G7" s="572">
        <f>Revenue!F50</f>
        <v/>
      </c>
      <c r="H7" s="572">
        <f>Revenue!G50</f>
        <v/>
      </c>
      <c r="I7" s="572">
        <f>Revenue!H50</f>
        <v/>
      </c>
      <c r="J7" s="572">
        <f>Revenue!I50</f>
        <v/>
      </c>
      <c r="K7" s="572">
        <f>Revenue!J50</f>
        <v/>
      </c>
      <c r="L7" s="572">
        <f>Revenue!K50</f>
        <v/>
      </c>
      <c r="M7" s="572">
        <f>Revenue!L50</f>
        <v/>
      </c>
      <c r="N7" s="572">
        <f>Revenue!M50</f>
        <v/>
      </c>
      <c r="O7" s="572">
        <f>Revenue!N50</f>
        <v/>
      </c>
      <c r="P7" s="572">
        <f>Revenue!O50</f>
        <v/>
      </c>
      <c r="Q7" s="572">
        <f>Revenue!P50</f>
        <v/>
      </c>
      <c r="R7" s="572">
        <f>Revenue!Q50</f>
        <v/>
      </c>
      <c r="S7" s="572">
        <f>Revenue!R50</f>
        <v/>
      </c>
      <c r="T7" s="572">
        <f>Revenue!S50</f>
        <v/>
      </c>
      <c r="U7" s="572">
        <f>Revenue!T50</f>
        <v/>
      </c>
      <c r="V7" s="572">
        <f>Revenue!U50</f>
        <v/>
      </c>
      <c r="W7" s="572">
        <f>Revenue!V50</f>
        <v/>
      </c>
      <c r="X7" s="572">
        <f>Revenue!W50</f>
        <v/>
      </c>
      <c r="Y7" s="572">
        <f>Revenue!X50</f>
        <v/>
      </c>
      <c r="Z7" s="572">
        <f>Revenue!Y50</f>
        <v/>
      </c>
      <c r="AA7" s="572">
        <f>Revenue!Z50</f>
        <v/>
      </c>
      <c r="AB7" s="572">
        <f>Revenue!AA50</f>
        <v/>
      </c>
      <c r="AC7" s="572">
        <f>Revenue!AB50</f>
        <v/>
      </c>
      <c r="AD7" s="572">
        <f>Revenue!AC50</f>
        <v/>
      </c>
      <c r="AE7" s="572">
        <f>Revenue!AD50</f>
        <v/>
      </c>
      <c r="AF7" s="572">
        <f>Revenue!AE50</f>
        <v/>
      </c>
      <c r="AG7" s="572">
        <f>Revenue!AF50</f>
        <v/>
      </c>
    </row>
    <row r="8" ht="16.5" customFormat="1" customHeight="1" s="218">
      <c r="B8" s="278" t="inlineStr">
        <is>
          <t>Total Opex ($)</t>
        </is>
      </c>
      <c r="C8" s="573" t="n">
        <v>0</v>
      </c>
      <c r="D8" s="573">
        <f>Costs!C25</f>
        <v/>
      </c>
      <c r="E8" s="573">
        <f>Costs!D25</f>
        <v/>
      </c>
      <c r="F8" s="573">
        <f>Costs!E25</f>
        <v/>
      </c>
      <c r="G8" s="573">
        <f>Costs!F25</f>
        <v/>
      </c>
      <c r="H8" s="573">
        <f>Costs!G25</f>
        <v/>
      </c>
      <c r="I8" s="573">
        <f>Costs!H25</f>
        <v/>
      </c>
      <c r="J8" s="573">
        <f>Costs!I25</f>
        <v/>
      </c>
      <c r="K8" s="573">
        <f>Costs!J25</f>
        <v/>
      </c>
      <c r="L8" s="573">
        <f>Costs!K25</f>
        <v/>
      </c>
      <c r="M8" s="573">
        <f>Costs!L25</f>
        <v/>
      </c>
      <c r="N8" s="573">
        <f>Costs!M25</f>
        <v/>
      </c>
      <c r="O8" s="573">
        <f>Costs!N25</f>
        <v/>
      </c>
      <c r="P8" s="573">
        <f>Costs!O25</f>
        <v/>
      </c>
      <c r="Q8" s="573">
        <f>Costs!P25</f>
        <v/>
      </c>
      <c r="R8" s="573">
        <f>Costs!Q25</f>
        <v/>
      </c>
      <c r="S8" s="573">
        <f>Costs!R25</f>
        <v/>
      </c>
      <c r="T8" s="573">
        <f>Costs!S25</f>
        <v/>
      </c>
      <c r="U8" s="573">
        <f>Costs!T25</f>
        <v/>
      </c>
      <c r="V8" s="573">
        <f>Costs!U25</f>
        <v/>
      </c>
      <c r="W8" s="573">
        <f>Costs!V25</f>
        <v/>
      </c>
      <c r="X8" s="573">
        <f>Costs!W25</f>
        <v/>
      </c>
      <c r="Y8" s="573">
        <f>Costs!X25</f>
        <v/>
      </c>
      <c r="Z8" s="573">
        <f>Costs!Y25</f>
        <v/>
      </c>
      <c r="AA8" s="573">
        <f>Costs!Z25</f>
        <v/>
      </c>
      <c r="AB8" s="573">
        <f>Costs!AA25</f>
        <v/>
      </c>
      <c r="AC8" s="573">
        <f>Costs!AB25</f>
        <v/>
      </c>
      <c r="AD8" s="573">
        <f>Costs!AC25</f>
        <v/>
      </c>
      <c r="AE8" s="573">
        <f>Costs!AD25</f>
        <v/>
      </c>
      <c r="AF8" s="573">
        <f>Costs!AE25</f>
        <v/>
      </c>
      <c r="AG8" s="573">
        <f>Costs!AF25</f>
        <v/>
      </c>
    </row>
    <row r="9" ht="16.5" customFormat="1" customHeight="1" s="218">
      <c r="B9" s="251" t="inlineStr">
        <is>
          <t>EBITDA ($)</t>
        </is>
      </c>
      <c r="C9" s="574">
        <f>C7-C8</f>
        <v/>
      </c>
      <c r="D9" s="574">
        <f>D7-D8</f>
        <v/>
      </c>
      <c r="E9" s="574">
        <f>E7-E8</f>
        <v/>
      </c>
      <c r="F9" s="574">
        <f>F7-F8</f>
        <v/>
      </c>
      <c r="G9" s="574">
        <f>G7-G8</f>
        <v/>
      </c>
      <c r="H9" s="574">
        <f>H7-H8</f>
        <v/>
      </c>
      <c r="I9" s="574">
        <f>I7-I8</f>
        <v/>
      </c>
      <c r="J9" s="574">
        <f>J7-J8</f>
        <v/>
      </c>
      <c r="K9" s="574">
        <f>K7-K8</f>
        <v/>
      </c>
      <c r="L9" s="574">
        <f>L7-L8</f>
        <v/>
      </c>
      <c r="M9" s="574">
        <f>M7-M8</f>
        <v/>
      </c>
      <c r="N9" s="574">
        <f>N7-N8</f>
        <v/>
      </c>
      <c r="O9" s="574">
        <f>O7-O8</f>
        <v/>
      </c>
      <c r="P9" s="574">
        <f>P7-P8</f>
        <v/>
      </c>
      <c r="Q9" s="574">
        <f>Q7-Q8</f>
        <v/>
      </c>
      <c r="R9" s="574">
        <f>R7-R8</f>
        <v/>
      </c>
      <c r="S9" s="574">
        <f>S7-S8</f>
        <v/>
      </c>
      <c r="T9" s="574">
        <f>T7-T8</f>
        <v/>
      </c>
      <c r="U9" s="574">
        <f>U7-U8</f>
        <v/>
      </c>
      <c r="V9" s="574">
        <f>V7-V8</f>
        <v/>
      </c>
      <c r="W9" s="574">
        <f>W7-W8</f>
        <v/>
      </c>
      <c r="X9" s="574">
        <f>X7-X8</f>
        <v/>
      </c>
      <c r="Y9" s="574">
        <f>Y7-Y8</f>
        <v/>
      </c>
      <c r="Z9" s="574">
        <f>Z7-Z8</f>
        <v/>
      </c>
      <c r="AA9" s="574">
        <f>AA7-AA8</f>
        <v/>
      </c>
      <c r="AB9" s="574">
        <f>AB7-AB8</f>
        <v/>
      </c>
      <c r="AC9" s="574">
        <f>AC7-AC8</f>
        <v/>
      </c>
      <c r="AD9" s="574">
        <f>AD7-AD8</f>
        <v/>
      </c>
      <c r="AE9" s="574">
        <f>AE7-AE8</f>
        <v/>
      </c>
      <c r="AF9" s="574">
        <f>AF7-AF8</f>
        <v/>
      </c>
      <c r="AG9" s="574">
        <f>AG7-AG8</f>
        <v/>
      </c>
    </row>
    <row r="10" ht="16.5" customFormat="1" customHeight="1" s="218">
      <c r="B10" s="278" t="inlineStr">
        <is>
          <t>Applied Depreciation ($)</t>
        </is>
      </c>
      <c r="C10" s="573" t="n">
        <v>0</v>
      </c>
      <c r="D10" s="573">
        <f>Tax!C62</f>
        <v/>
      </c>
      <c r="E10" s="573">
        <f>Tax!D62</f>
        <v/>
      </c>
      <c r="F10" s="573">
        <f>Tax!E62</f>
        <v/>
      </c>
      <c r="G10" s="573">
        <f>Tax!F62</f>
        <v/>
      </c>
      <c r="H10" s="573">
        <f>Tax!G62</f>
        <v/>
      </c>
      <c r="I10" s="573">
        <f>Tax!H62</f>
        <v/>
      </c>
      <c r="J10" s="573">
        <f>Tax!I62</f>
        <v/>
      </c>
      <c r="K10" s="573">
        <f>Tax!J62</f>
        <v/>
      </c>
      <c r="L10" s="573">
        <f>Tax!K62</f>
        <v/>
      </c>
      <c r="M10" s="573">
        <f>Tax!L62</f>
        <v/>
      </c>
      <c r="N10" s="573">
        <f>Tax!M62</f>
        <v/>
      </c>
      <c r="O10" s="573">
        <f>Tax!N62</f>
        <v/>
      </c>
      <c r="P10" s="573">
        <f>Tax!O62</f>
        <v/>
      </c>
      <c r="Q10" s="573">
        <f>Tax!P62</f>
        <v/>
      </c>
      <c r="R10" s="573">
        <f>Tax!Q62</f>
        <v/>
      </c>
      <c r="S10" s="573">
        <f>Tax!R62</f>
        <v/>
      </c>
      <c r="T10" s="573">
        <f>Tax!S62</f>
        <v/>
      </c>
      <c r="U10" s="573">
        <f>Tax!T62</f>
        <v/>
      </c>
      <c r="V10" s="573">
        <f>Tax!U62</f>
        <v/>
      </c>
      <c r="W10" s="573">
        <f>Tax!V62</f>
        <v/>
      </c>
      <c r="X10" s="573">
        <f>Tax!W62</f>
        <v/>
      </c>
      <c r="Y10" s="573">
        <f>Tax!X62</f>
        <v/>
      </c>
      <c r="Z10" s="573">
        <f>Tax!Y62</f>
        <v/>
      </c>
      <c r="AA10" s="573">
        <f>Tax!Z62</f>
        <v/>
      </c>
      <c r="AB10" s="573">
        <f>Tax!AA62</f>
        <v/>
      </c>
      <c r="AC10" s="573">
        <f>Tax!AB62</f>
        <v/>
      </c>
      <c r="AD10" s="573">
        <f>Tax!AC62</f>
        <v/>
      </c>
      <c r="AE10" s="573">
        <f>Tax!AD62</f>
        <v/>
      </c>
      <c r="AF10" s="573">
        <f>Tax!AE62</f>
        <v/>
      </c>
      <c r="AG10" s="573">
        <f>Tax!AF62</f>
        <v/>
      </c>
    </row>
    <row r="11" ht="16.5" customFormat="1" customHeight="1" s="218">
      <c r="B11" s="251" t="inlineStr">
        <is>
          <t>Taxable Income (Unlevered) ($)</t>
        </is>
      </c>
      <c r="C11" s="574">
        <f>C9-C10</f>
        <v/>
      </c>
      <c r="D11" s="574">
        <f>D9-D10</f>
        <v/>
      </c>
      <c r="E11" s="574">
        <f>E9-E10</f>
        <v/>
      </c>
      <c r="F11" s="574">
        <f>F9-F10</f>
        <v/>
      </c>
      <c r="G11" s="574">
        <f>G9-G10</f>
        <v/>
      </c>
      <c r="H11" s="574">
        <f>H9-H10</f>
        <v/>
      </c>
      <c r="I11" s="574">
        <f>I9-I10</f>
        <v/>
      </c>
      <c r="J11" s="574">
        <f>J9-J10</f>
        <v/>
      </c>
      <c r="K11" s="574">
        <f>K9-K10</f>
        <v/>
      </c>
      <c r="L11" s="574">
        <f>L9-L10</f>
        <v/>
      </c>
      <c r="M11" s="574">
        <f>M9-M10</f>
        <v/>
      </c>
      <c r="N11" s="574">
        <f>N9-N10</f>
        <v/>
      </c>
      <c r="O11" s="574">
        <f>O9-O10</f>
        <v/>
      </c>
      <c r="P11" s="574">
        <f>P9-P10</f>
        <v/>
      </c>
      <c r="Q11" s="574">
        <f>Q9-Q10</f>
        <v/>
      </c>
      <c r="R11" s="574">
        <f>R9-R10</f>
        <v/>
      </c>
      <c r="S11" s="574">
        <f>S9-S10</f>
        <v/>
      </c>
      <c r="T11" s="574">
        <f>T9-T10</f>
        <v/>
      </c>
      <c r="U11" s="574">
        <f>U9-U10</f>
        <v/>
      </c>
      <c r="V11" s="574">
        <f>V9-V10</f>
        <v/>
      </c>
      <c r="W11" s="574">
        <f>W9-W10</f>
        <v/>
      </c>
      <c r="X11" s="574">
        <f>X9-X10</f>
        <v/>
      </c>
      <c r="Y11" s="574">
        <f>Y9-Y10</f>
        <v/>
      </c>
      <c r="Z11" s="574">
        <f>Z9-Z10</f>
        <v/>
      </c>
      <c r="AA11" s="574">
        <f>AA9-AA10</f>
        <v/>
      </c>
      <c r="AB11" s="574">
        <f>AB9-AB10</f>
        <v/>
      </c>
      <c r="AC11" s="574">
        <f>AC9-AC10</f>
        <v/>
      </c>
      <c r="AD11" s="574">
        <f>AD9-AD10</f>
        <v/>
      </c>
      <c r="AE11" s="574">
        <f>AE9-AE10</f>
        <v/>
      </c>
      <c r="AF11" s="574">
        <f>AF9-AF10</f>
        <v/>
      </c>
      <c r="AG11" s="574">
        <f>AG9-AG10</f>
        <v/>
      </c>
    </row>
    <row r="12" ht="16.5" customFormat="1" customHeight="1" s="218">
      <c r="B12" s="278" t="inlineStr">
        <is>
          <t>Unlevered Cash Tax ($)</t>
        </is>
      </c>
      <c r="C12" s="573">
        <f>MAX(C11*0.21,0)</f>
        <v/>
      </c>
      <c r="D12" s="573">
        <f>MAX(D11*0.21,0)</f>
        <v/>
      </c>
      <c r="E12" s="573">
        <f>MAX(E11*0.21,0)</f>
        <v/>
      </c>
      <c r="F12" s="573">
        <f>MAX(F11*0.21,0)</f>
        <v/>
      </c>
      <c r="G12" s="573">
        <f>MAX(G11*0.21,0)</f>
        <v/>
      </c>
      <c r="H12" s="573">
        <f>MAX(H11*0.21,0)</f>
        <v/>
      </c>
      <c r="I12" s="573">
        <f>MAX(I11*0.21,0)</f>
        <v/>
      </c>
      <c r="J12" s="573">
        <f>MAX(J11*0.21,0)</f>
        <v/>
      </c>
      <c r="K12" s="573">
        <f>MAX(K11*0.21,0)</f>
        <v/>
      </c>
      <c r="L12" s="573">
        <f>MAX(L11*0.21,0)</f>
        <v/>
      </c>
      <c r="M12" s="573">
        <f>MAX(M11*0.21,0)</f>
        <v/>
      </c>
      <c r="N12" s="573">
        <f>MAX(N11*0.21,0)</f>
        <v/>
      </c>
      <c r="O12" s="573">
        <f>MAX(O11*0.21,0)</f>
        <v/>
      </c>
      <c r="P12" s="573">
        <f>MAX(P11*0.21,0)</f>
        <v/>
      </c>
      <c r="Q12" s="573">
        <f>MAX(Q11*0.21,0)</f>
        <v/>
      </c>
      <c r="R12" s="573">
        <f>MAX(R11*0.21,0)</f>
        <v/>
      </c>
      <c r="S12" s="573">
        <f>MAX(S11*0.21,0)</f>
        <v/>
      </c>
      <c r="T12" s="573">
        <f>MAX(T11*0.21,0)</f>
        <v/>
      </c>
      <c r="U12" s="573">
        <f>MAX(U11*0.21,0)</f>
        <v/>
      </c>
      <c r="V12" s="573">
        <f>MAX(V11*0.21,0)</f>
        <v/>
      </c>
      <c r="W12" s="573">
        <f>MAX(W11*0.21,0)</f>
        <v/>
      </c>
      <c r="X12" s="573">
        <f>MAX(X11*0.21,0)</f>
        <v/>
      </c>
      <c r="Y12" s="573">
        <f>MAX(Y11*0.21,0)</f>
        <v/>
      </c>
      <c r="Z12" s="573">
        <f>MAX(Z11*0.21,0)</f>
        <v/>
      </c>
      <c r="AA12" s="573">
        <f>MAX(AA11*0.21,0)</f>
        <v/>
      </c>
      <c r="AB12" s="573">
        <f>MAX(AB11*0.21,0)</f>
        <v/>
      </c>
      <c r="AC12" s="573">
        <f>MAX(AC11*0.21,0)</f>
        <v/>
      </c>
      <c r="AD12" s="573">
        <f>MAX(AD11*0.21,0)</f>
        <v/>
      </c>
      <c r="AE12" s="573">
        <f>MAX(AE11*0.21,0)</f>
        <v/>
      </c>
      <c r="AF12" s="573">
        <f>MAX(AF11*0.21,0)</f>
        <v/>
      </c>
      <c r="AG12" s="573">
        <f>MAX(AG11*0.21,0)</f>
        <v/>
      </c>
    </row>
    <row r="13" ht="16.5" customFormat="1" customHeight="1" s="218">
      <c r="B13" s="251" t="inlineStr">
        <is>
          <t>Depreciation Add-Back ($)</t>
        </is>
      </c>
      <c r="C13" s="574" t="n">
        <v>0</v>
      </c>
      <c r="D13" s="574">
        <f>Tax!C62</f>
        <v/>
      </c>
      <c r="E13" s="574">
        <f>Tax!D62</f>
        <v/>
      </c>
      <c r="F13" s="574">
        <f>Tax!E62</f>
        <v/>
      </c>
      <c r="G13" s="574">
        <f>Tax!F62</f>
        <v/>
      </c>
      <c r="H13" s="574">
        <f>Tax!G62</f>
        <v/>
      </c>
      <c r="I13" s="574">
        <f>Tax!H62</f>
        <v/>
      </c>
      <c r="J13" s="574">
        <f>Tax!I62</f>
        <v/>
      </c>
      <c r="K13" s="574">
        <f>Tax!J62</f>
        <v/>
      </c>
      <c r="L13" s="574">
        <f>Tax!K62</f>
        <v/>
      </c>
      <c r="M13" s="574">
        <f>Tax!L62</f>
        <v/>
      </c>
      <c r="N13" s="574">
        <f>Tax!M62</f>
        <v/>
      </c>
      <c r="O13" s="574">
        <f>Tax!N62</f>
        <v/>
      </c>
      <c r="P13" s="574">
        <f>Tax!O62</f>
        <v/>
      </c>
      <c r="Q13" s="574">
        <f>Tax!P62</f>
        <v/>
      </c>
      <c r="R13" s="574">
        <f>Tax!Q62</f>
        <v/>
      </c>
      <c r="S13" s="574">
        <f>Tax!R62</f>
        <v/>
      </c>
      <c r="T13" s="574">
        <f>Tax!S62</f>
        <v/>
      </c>
      <c r="U13" s="574">
        <f>Tax!T62</f>
        <v/>
      </c>
      <c r="V13" s="574">
        <f>Tax!U62</f>
        <v/>
      </c>
      <c r="W13" s="574">
        <f>Tax!V62</f>
        <v/>
      </c>
      <c r="X13" s="574">
        <f>Tax!W62</f>
        <v/>
      </c>
      <c r="Y13" s="574">
        <f>Tax!X62</f>
        <v/>
      </c>
      <c r="Z13" s="574">
        <f>Tax!Y62</f>
        <v/>
      </c>
      <c r="AA13" s="574">
        <f>Tax!Z62</f>
        <v/>
      </c>
      <c r="AB13" s="574">
        <f>Tax!AA62</f>
        <v/>
      </c>
      <c r="AC13" s="574">
        <f>Tax!AB62</f>
        <v/>
      </c>
      <c r="AD13" s="574">
        <f>Tax!AC62</f>
        <v/>
      </c>
      <c r="AE13" s="574">
        <f>Tax!AD62</f>
        <v/>
      </c>
      <c r="AF13" s="574">
        <f>Tax!AE62</f>
        <v/>
      </c>
      <c r="AG13" s="574">
        <f>Tax!AF62</f>
        <v/>
      </c>
    </row>
    <row r="14" ht="18" customFormat="1" customHeight="1" s="218">
      <c r="B14" s="351" t="inlineStr">
        <is>
          <t>CFADS — Unlevered ($)</t>
        </is>
      </c>
      <c r="C14" s="575">
        <f>C9-C12</f>
        <v/>
      </c>
      <c r="D14" s="575">
        <f>D9-D12</f>
        <v/>
      </c>
      <c r="E14" s="575">
        <f>E9-E12</f>
        <v/>
      </c>
      <c r="F14" s="575">
        <f>F9-F12</f>
        <v/>
      </c>
      <c r="G14" s="575">
        <f>G9-G12</f>
        <v/>
      </c>
      <c r="H14" s="575">
        <f>H9-H12</f>
        <v/>
      </c>
      <c r="I14" s="575">
        <f>I9-I12</f>
        <v/>
      </c>
      <c r="J14" s="575">
        <f>J9-J12</f>
        <v/>
      </c>
      <c r="K14" s="575">
        <f>K9-K12</f>
        <v/>
      </c>
      <c r="L14" s="575">
        <f>L9-L12</f>
        <v/>
      </c>
      <c r="M14" s="575">
        <f>M9-M12</f>
        <v/>
      </c>
      <c r="N14" s="575">
        <f>N9-N12</f>
        <v/>
      </c>
      <c r="O14" s="575">
        <f>O9-O12</f>
        <v/>
      </c>
      <c r="P14" s="575">
        <f>P9-P12</f>
        <v/>
      </c>
      <c r="Q14" s="575">
        <f>Q9-Q12</f>
        <v/>
      </c>
      <c r="R14" s="575">
        <f>R9-R12</f>
        <v/>
      </c>
      <c r="S14" s="575">
        <f>S9-S12</f>
        <v/>
      </c>
      <c r="T14" s="575">
        <f>T9-T12</f>
        <v/>
      </c>
      <c r="U14" s="575">
        <f>U9-U12</f>
        <v/>
      </c>
      <c r="V14" s="575">
        <f>V9-V12</f>
        <v/>
      </c>
      <c r="W14" s="575">
        <f>W9-W12</f>
        <v/>
      </c>
      <c r="X14" s="575">
        <f>X9-X12</f>
        <v/>
      </c>
      <c r="Y14" s="575">
        <f>Y9-Y12</f>
        <v/>
      </c>
      <c r="Z14" s="575">
        <f>Z9-Z12</f>
        <v/>
      </c>
      <c r="AA14" s="575">
        <f>AA9-AA12</f>
        <v/>
      </c>
      <c r="AB14" s="575">
        <f>AB9-AB12</f>
        <v/>
      </c>
      <c r="AC14" s="575">
        <f>AC9-AC12</f>
        <v/>
      </c>
      <c r="AD14" s="575">
        <f>AD9-AD12</f>
        <v/>
      </c>
      <c r="AE14" s="575">
        <f>AE9-AE12</f>
        <v/>
      </c>
      <c r="AF14" s="575">
        <f>AF9-AF12</f>
        <v/>
      </c>
      <c r="AG14" s="575">
        <f>AG9-AG12</f>
        <v/>
      </c>
    </row>
    <row r="15" ht="18" customFormat="1" customHeight="1" s="218">
      <c r="B15" s="361" t="inlineStr">
        <is>
          <t>Project Cash Flow ($)</t>
        </is>
      </c>
      <c r="C15" s="576">
        <f>C5</f>
        <v/>
      </c>
      <c r="D15" s="577">
        <f>D14</f>
        <v/>
      </c>
      <c r="E15" s="577">
        <f>E14</f>
        <v/>
      </c>
      <c r="F15" s="577">
        <f>F14</f>
        <v/>
      </c>
      <c r="G15" s="577">
        <f>G14</f>
        <v/>
      </c>
      <c r="H15" s="577">
        <f>H14</f>
        <v/>
      </c>
      <c r="I15" s="577">
        <f>I14</f>
        <v/>
      </c>
      <c r="J15" s="577">
        <f>J14</f>
        <v/>
      </c>
      <c r="K15" s="577">
        <f>K14</f>
        <v/>
      </c>
      <c r="L15" s="577">
        <f>L14</f>
        <v/>
      </c>
      <c r="M15" s="577">
        <f>M14</f>
        <v/>
      </c>
      <c r="N15" s="577">
        <f>N14</f>
        <v/>
      </c>
      <c r="O15" s="577">
        <f>O14</f>
        <v/>
      </c>
      <c r="P15" s="577">
        <f>P14</f>
        <v/>
      </c>
      <c r="Q15" s="577">
        <f>Q14</f>
        <v/>
      </c>
      <c r="R15" s="577">
        <f>R14</f>
        <v/>
      </c>
      <c r="S15" s="577">
        <f>S14</f>
        <v/>
      </c>
      <c r="T15" s="577">
        <f>T14</f>
        <v/>
      </c>
      <c r="U15" s="577">
        <f>U14</f>
        <v/>
      </c>
      <c r="V15" s="577">
        <f>V14</f>
        <v/>
      </c>
      <c r="W15" s="577">
        <f>W14</f>
        <v/>
      </c>
      <c r="X15" s="577">
        <f>X14</f>
        <v/>
      </c>
      <c r="Y15" s="577">
        <f>Y14</f>
        <v/>
      </c>
      <c r="Z15" s="577">
        <f>Z14</f>
        <v/>
      </c>
      <c r="AA15" s="577">
        <f>AA14</f>
        <v/>
      </c>
      <c r="AB15" s="577">
        <f>AB14</f>
        <v/>
      </c>
      <c r="AC15" s="577">
        <f>AC14</f>
        <v/>
      </c>
      <c r="AD15" s="577">
        <f>AD14</f>
        <v/>
      </c>
      <c r="AE15" s="577">
        <f>AE14</f>
        <v/>
      </c>
      <c r="AF15" s="577">
        <f>AF14</f>
        <v/>
      </c>
      <c r="AG15" s="577">
        <f>AG14</f>
        <v/>
      </c>
    </row>
    <row r="16" ht="19.5" customHeight="1" s="534">
      <c r="B16" s="379" t="inlineStr">
        <is>
          <t>Project IRR</t>
        </is>
      </c>
      <c r="C16" s="380">
        <f>IRR(C15:AG15)</f>
        <v/>
      </c>
      <c r="D16" s="578" t="n"/>
      <c r="E16" s="202" t="n"/>
      <c r="F16" s="202" t="n"/>
      <c r="G16" s="202" t="n"/>
      <c r="H16" s="202" t="n"/>
      <c r="I16" s="202" t="n"/>
      <c r="J16" s="202" t="n"/>
      <c r="K16" s="202" t="n"/>
      <c r="L16" s="202" t="n"/>
      <c r="M16" s="202" t="n"/>
      <c r="N16" s="202" t="n"/>
      <c r="O16" s="202" t="n"/>
      <c r="P16" s="202" t="n"/>
      <c r="Q16" s="202" t="n"/>
      <c r="R16" s="202" t="n"/>
      <c r="S16" s="202" t="n"/>
      <c r="T16" s="202" t="n"/>
      <c r="U16" s="202" t="n"/>
      <c r="V16" s="202" t="n"/>
      <c r="W16" s="202" t="n"/>
      <c r="X16" s="202" t="n"/>
      <c r="Y16" s="202" t="n"/>
      <c r="Z16" s="202" t="n"/>
      <c r="AA16" s="202" t="n"/>
      <c r="AB16" s="202" t="n"/>
      <c r="AC16" s="202" t="n"/>
      <c r="AD16" s="202" t="n"/>
      <c r="AE16" s="202" t="n"/>
      <c r="AF16" s="202" t="n"/>
      <c r="AG16" s="202" t="n"/>
    </row>
    <row r="17" ht="16.5" customHeight="1" s="534">
      <c r="B17" s="319" t="inlineStr">
        <is>
          <t>Project NPV ($)</t>
        </is>
      </c>
      <c r="C17" s="579">
        <f>NPV(Inputs!$D$70,Cashflows!D15:AG15)+Cashflows!C15</f>
        <v/>
      </c>
      <c r="D17" s="564" t="n"/>
      <c r="E17" s="143" t="n"/>
      <c r="F17" s="143" t="n"/>
      <c r="G17" s="143" t="n"/>
      <c r="H17" s="143" t="n"/>
      <c r="I17" s="143" t="n"/>
      <c r="J17" s="143" t="n"/>
      <c r="K17" s="143" t="n"/>
      <c r="L17" s="143" t="n"/>
      <c r="M17" s="143" t="n"/>
      <c r="N17" s="143" t="n"/>
      <c r="O17" s="143" t="n"/>
      <c r="P17" s="143" t="n"/>
      <c r="Q17" s="143" t="n"/>
      <c r="R17" s="143" t="n"/>
      <c r="S17" s="143" t="n"/>
      <c r="T17" s="143" t="n"/>
      <c r="U17" s="143" t="n"/>
      <c r="V17" s="143" t="n"/>
      <c r="W17" s="143" t="n"/>
      <c r="X17" s="143" t="n"/>
      <c r="Y17" s="143" t="n"/>
      <c r="Z17" s="143" t="n"/>
      <c r="AA17" s="143" t="n"/>
      <c r="AB17" s="143" t="n"/>
      <c r="AC17" s="143" t="n"/>
      <c r="AD17" s="143" t="n"/>
      <c r="AE17" s="143" t="n"/>
      <c r="AF17" s="143" t="n"/>
      <c r="AG17" s="143" t="n"/>
    </row>
    <row r="18" ht="16.5" customHeight="1" s="534">
      <c r="B18" s="142" t="n"/>
      <c r="C18" s="143" t="n"/>
      <c r="D18" s="143" t="n"/>
      <c r="E18" s="143" t="n"/>
      <c r="F18" s="143" t="n"/>
      <c r="G18" s="143" t="n"/>
      <c r="H18" s="143" t="n"/>
      <c r="I18" s="143" t="n"/>
      <c r="J18" s="143" t="n"/>
      <c r="K18" s="143" t="n"/>
      <c r="L18" s="143" t="n"/>
      <c r="M18" s="143" t="n"/>
      <c r="N18" s="143" t="n"/>
      <c r="O18" s="143" t="n"/>
      <c r="P18" s="143" t="n"/>
      <c r="Q18" s="143" t="n"/>
      <c r="R18" s="143" t="n"/>
      <c r="S18" s="143" t="n"/>
      <c r="T18" s="143" t="n"/>
      <c r="U18" s="143" t="n"/>
      <c r="V18" s="143" t="n"/>
      <c r="W18" s="143" t="n"/>
      <c r="X18" s="143" t="n"/>
      <c r="Y18" s="143" t="n"/>
      <c r="Z18" s="143" t="n"/>
      <c r="AA18" s="143" t="n"/>
      <c r="AB18" s="143" t="n"/>
      <c r="AC18" s="143" t="n"/>
      <c r="AD18" s="143" t="n"/>
      <c r="AE18" s="143" t="n"/>
      <c r="AF18" s="143" t="n"/>
      <c r="AG18" s="143" t="n"/>
    </row>
    <row r="19" ht="16.5" customHeight="1" s="534">
      <c r="B19" s="142" t="n"/>
      <c r="C19" s="143" t="n"/>
      <c r="D19" s="143" t="n"/>
      <c r="E19" s="143" t="n"/>
      <c r="F19" s="143" t="n"/>
      <c r="G19" s="143" t="n"/>
      <c r="H19" s="143" t="n"/>
      <c r="I19" s="143" t="n"/>
      <c r="J19" s="143" t="n"/>
      <c r="K19" s="143" t="n"/>
      <c r="L19" s="143" t="n"/>
      <c r="M19" s="143" t="n"/>
      <c r="N19" s="143" t="n"/>
      <c r="O19" s="143" t="n"/>
      <c r="P19" s="143" t="n"/>
      <c r="Q19" s="143" t="n"/>
      <c r="R19" s="143" t="n"/>
      <c r="S19" s="143" t="n"/>
      <c r="T19" s="143" t="n"/>
      <c r="U19" s="143" t="n"/>
      <c r="V19" s="143" t="n"/>
      <c r="W19" s="143" t="n"/>
      <c r="X19" s="143" t="n"/>
      <c r="Y19" s="143" t="n"/>
      <c r="Z19" s="143" t="n"/>
      <c r="AA19" s="143" t="n"/>
      <c r="AB19" s="143" t="n"/>
      <c r="AC19" s="143" t="n"/>
      <c r="AD19" s="143" t="n"/>
      <c r="AE19" s="143" t="n"/>
      <c r="AF19" s="143" t="n"/>
      <c r="AG19" s="143" t="n"/>
    </row>
    <row r="20" ht="16.5" customHeight="1" s="534">
      <c r="A20" s="530" t="inlineStr">
        <is>
          <t>Block 2 — Equity Cash Flow (Levered)</t>
        </is>
      </c>
      <c r="B20" s="530" t="n"/>
      <c r="C20" s="530" t="n"/>
      <c r="D20" s="530" t="n"/>
      <c r="E20" s="530" t="n"/>
      <c r="F20" s="530" t="n"/>
      <c r="G20" s="530" t="n"/>
      <c r="H20" s="530" t="n"/>
      <c r="I20" s="530" t="n"/>
      <c r="J20" s="530" t="n"/>
      <c r="K20" s="530" t="n"/>
      <c r="L20" s="530" t="n"/>
      <c r="M20" s="530" t="n"/>
      <c r="N20" s="530" t="n"/>
      <c r="O20" s="530" t="n"/>
      <c r="P20" s="530" t="n"/>
      <c r="Q20" s="530" t="n"/>
      <c r="R20" s="530" t="n"/>
      <c r="S20" s="530" t="n"/>
      <c r="T20" s="530" t="n"/>
      <c r="U20" s="530" t="n"/>
      <c r="V20" s="530" t="n"/>
      <c r="W20" s="530" t="n"/>
      <c r="X20" s="530" t="n"/>
      <c r="Y20" s="530" t="n"/>
      <c r="Z20" s="530" t="n"/>
      <c r="AA20" s="530" t="n"/>
      <c r="AB20" s="530" t="n"/>
      <c r="AC20" s="530" t="n"/>
      <c r="AD20" s="530" t="n"/>
      <c r="AE20" s="530" t="n"/>
      <c r="AF20" s="530" t="n"/>
      <c r="AG20" s="530" t="n"/>
    </row>
    <row r="21" ht="18" customHeight="1" s="534">
      <c r="A21" s="144" t="n"/>
      <c r="B21" s="317" t="inlineStr">
        <is>
          <t>Year N Production</t>
        </is>
      </c>
      <c r="C21" s="317" t="n">
        <v>0</v>
      </c>
      <c r="D21" s="317" t="n">
        <v>1</v>
      </c>
      <c r="E21" s="317" t="n">
        <v>2</v>
      </c>
      <c r="F21" s="317" t="n">
        <v>3</v>
      </c>
      <c r="G21" s="317" t="n">
        <v>4</v>
      </c>
      <c r="H21" s="317" t="n">
        <v>5</v>
      </c>
      <c r="I21" s="317" t="n">
        <v>6</v>
      </c>
      <c r="J21" s="317" t="n">
        <v>7</v>
      </c>
      <c r="K21" s="317" t="n">
        <v>8</v>
      </c>
      <c r="L21" s="317" t="n">
        <v>9</v>
      </c>
      <c r="M21" s="317" t="n">
        <v>10</v>
      </c>
      <c r="N21" s="317" t="n">
        <v>11</v>
      </c>
      <c r="O21" s="317" t="n">
        <v>12</v>
      </c>
      <c r="P21" s="317" t="n">
        <v>13</v>
      </c>
      <c r="Q21" s="317" t="n">
        <v>14</v>
      </c>
      <c r="R21" s="317" t="n">
        <v>15</v>
      </c>
      <c r="S21" s="317" t="n">
        <v>16</v>
      </c>
      <c r="T21" s="317" t="n">
        <v>17</v>
      </c>
      <c r="U21" s="317" t="n">
        <v>18</v>
      </c>
      <c r="V21" s="317" t="n">
        <v>19</v>
      </c>
      <c r="W21" s="317" t="n">
        <v>20</v>
      </c>
      <c r="X21" s="317" t="n">
        <v>21</v>
      </c>
      <c r="Y21" s="317" t="n">
        <v>22</v>
      </c>
      <c r="Z21" s="317" t="n">
        <v>23</v>
      </c>
      <c r="AA21" s="317" t="n">
        <v>24</v>
      </c>
      <c r="AB21" s="317" t="n">
        <v>25</v>
      </c>
      <c r="AC21" s="317" t="n">
        <v>26</v>
      </c>
      <c r="AD21" s="317" t="n">
        <v>27</v>
      </c>
      <c r="AE21" s="317" t="n">
        <v>28</v>
      </c>
      <c r="AF21" s="317" t="n">
        <v>29</v>
      </c>
      <c r="AG21" s="317" t="n">
        <v>30</v>
      </c>
    </row>
    <row r="22" ht="18" customFormat="1" customHeight="1" s="218">
      <c r="B22" s="358" t="inlineStr">
        <is>
          <t>Equity Contribution ($)</t>
        </is>
      </c>
      <c r="C22" s="580">
        <f>Debt!C16*-1</f>
        <v/>
      </c>
      <c r="D22" s="580" t="n">
        <v>0</v>
      </c>
      <c r="E22" s="580" t="n">
        <v>0</v>
      </c>
      <c r="F22" s="580" t="n">
        <v>0</v>
      </c>
      <c r="G22" s="580" t="n">
        <v>0</v>
      </c>
      <c r="H22" s="580" t="n">
        <v>0</v>
      </c>
      <c r="I22" s="580" t="n">
        <v>0</v>
      </c>
      <c r="J22" s="580" t="n">
        <v>0</v>
      </c>
      <c r="K22" s="580" t="n">
        <v>0</v>
      </c>
      <c r="L22" s="580" t="n">
        <v>0</v>
      </c>
      <c r="M22" s="580" t="n">
        <v>0</v>
      </c>
      <c r="N22" s="580" t="n">
        <v>0</v>
      </c>
      <c r="O22" s="580" t="n">
        <v>0</v>
      </c>
      <c r="P22" s="580" t="n">
        <v>0</v>
      </c>
      <c r="Q22" s="580" t="n">
        <v>0</v>
      </c>
      <c r="R22" s="580" t="n">
        <v>0</v>
      </c>
      <c r="S22" s="580" t="n">
        <v>0</v>
      </c>
      <c r="T22" s="580" t="n">
        <v>0</v>
      </c>
      <c r="U22" s="580" t="n">
        <v>0</v>
      </c>
      <c r="V22" s="580" t="n">
        <v>0</v>
      </c>
      <c r="W22" s="580" t="n">
        <v>0</v>
      </c>
      <c r="X22" s="580" t="n">
        <v>0</v>
      </c>
      <c r="Y22" s="580" t="n">
        <v>0</v>
      </c>
      <c r="Z22" s="580" t="n">
        <v>0</v>
      </c>
      <c r="AA22" s="580" t="n">
        <v>0</v>
      </c>
      <c r="AB22" s="580" t="n">
        <v>0</v>
      </c>
      <c r="AC22" s="580" t="n">
        <v>0</v>
      </c>
      <c r="AD22" s="580" t="n">
        <v>0</v>
      </c>
      <c r="AE22" s="580" t="n">
        <v>0</v>
      </c>
      <c r="AF22" s="580" t="n">
        <v>0</v>
      </c>
      <c r="AG22" s="580" t="n">
        <v>0</v>
      </c>
    </row>
    <row r="23" ht="16.5" customFormat="1" customHeight="1" s="218">
      <c r="B23" s="251" t="inlineStr">
        <is>
          <t>Total Revenue ($)</t>
        </is>
      </c>
      <c r="C23" s="574" t="n">
        <v>0</v>
      </c>
      <c r="D23" s="574">
        <f>Revenue!C50</f>
        <v/>
      </c>
      <c r="E23" s="574">
        <f>Revenue!D50</f>
        <v/>
      </c>
      <c r="F23" s="574">
        <f>Revenue!E50</f>
        <v/>
      </c>
      <c r="G23" s="574">
        <f>Revenue!F50</f>
        <v/>
      </c>
      <c r="H23" s="574">
        <f>Revenue!G50</f>
        <v/>
      </c>
      <c r="I23" s="574">
        <f>Revenue!H50</f>
        <v/>
      </c>
      <c r="J23" s="574">
        <f>Revenue!I50</f>
        <v/>
      </c>
      <c r="K23" s="574">
        <f>Revenue!J50</f>
        <v/>
      </c>
      <c r="L23" s="574">
        <f>Revenue!K50</f>
        <v/>
      </c>
      <c r="M23" s="574">
        <f>Revenue!L50</f>
        <v/>
      </c>
      <c r="N23" s="574">
        <f>Revenue!M50</f>
        <v/>
      </c>
      <c r="O23" s="574">
        <f>Revenue!N50</f>
        <v/>
      </c>
      <c r="P23" s="574">
        <f>Revenue!O50</f>
        <v/>
      </c>
      <c r="Q23" s="574">
        <f>Revenue!P50</f>
        <v/>
      </c>
      <c r="R23" s="574">
        <f>Revenue!Q50</f>
        <v/>
      </c>
      <c r="S23" s="574">
        <f>Revenue!R50</f>
        <v/>
      </c>
      <c r="T23" s="574">
        <f>Revenue!S50</f>
        <v/>
      </c>
      <c r="U23" s="574">
        <f>Revenue!T50</f>
        <v/>
      </c>
      <c r="V23" s="574">
        <f>Revenue!U50</f>
        <v/>
      </c>
      <c r="W23" s="574">
        <f>Revenue!V50</f>
        <v/>
      </c>
      <c r="X23" s="574">
        <f>Revenue!W50</f>
        <v/>
      </c>
      <c r="Y23" s="574">
        <f>Revenue!X50</f>
        <v/>
      </c>
      <c r="Z23" s="574">
        <f>Revenue!Y50</f>
        <v/>
      </c>
      <c r="AA23" s="574">
        <f>Revenue!Z50</f>
        <v/>
      </c>
      <c r="AB23" s="574">
        <f>Revenue!AA50</f>
        <v/>
      </c>
      <c r="AC23" s="574">
        <f>Revenue!AB50</f>
        <v/>
      </c>
      <c r="AD23" s="574">
        <f>Revenue!AC50</f>
        <v/>
      </c>
      <c r="AE23" s="574">
        <f>Revenue!AD50</f>
        <v/>
      </c>
      <c r="AF23" s="574">
        <f>Revenue!AE50</f>
        <v/>
      </c>
      <c r="AG23" s="574">
        <f>Revenue!AF50</f>
        <v/>
      </c>
    </row>
    <row r="24" ht="16.5" customFormat="1" customHeight="1" s="218">
      <c r="B24" s="278" t="inlineStr">
        <is>
          <t>Total Opex ($)</t>
        </is>
      </c>
      <c r="C24" s="573" t="n">
        <v>0</v>
      </c>
      <c r="D24" s="573">
        <f>Costs!C25</f>
        <v/>
      </c>
      <c r="E24" s="573">
        <f>Costs!D25</f>
        <v/>
      </c>
      <c r="F24" s="573">
        <f>Costs!E25</f>
        <v/>
      </c>
      <c r="G24" s="573">
        <f>Costs!F25</f>
        <v/>
      </c>
      <c r="H24" s="573">
        <f>Costs!G25</f>
        <v/>
      </c>
      <c r="I24" s="573">
        <f>Costs!H25</f>
        <v/>
      </c>
      <c r="J24" s="573">
        <f>Costs!I25</f>
        <v/>
      </c>
      <c r="K24" s="573">
        <f>Costs!J25</f>
        <v/>
      </c>
      <c r="L24" s="573">
        <f>Costs!K25</f>
        <v/>
      </c>
      <c r="M24" s="573">
        <f>Costs!L25</f>
        <v/>
      </c>
      <c r="N24" s="573">
        <f>Costs!M25</f>
        <v/>
      </c>
      <c r="O24" s="573">
        <f>Costs!N25</f>
        <v/>
      </c>
      <c r="P24" s="573">
        <f>Costs!O25</f>
        <v/>
      </c>
      <c r="Q24" s="573">
        <f>Costs!P25</f>
        <v/>
      </c>
      <c r="R24" s="573">
        <f>Costs!Q25</f>
        <v/>
      </c>
      <c r="S24" s="573">
        <f>Costs!R25</f>
        <v/>
      </c>
      <c r="T24" s="573">
        <f>Costs!S25</f>
        <v/>
      </c>
      <c r="U24" s="573">
        <f>Costs!T25</f>
        <v/>
      </c>
      <c r="V24" s="573">
        <f>Costs!U25</f>
        <v/>
      </c>
      <c r="W24" s="573">
        <f>Costs!V25</f>
        <v/>
      </c>
      <c r="X24" s="573">
        <f>Costs!W25</f>
        <v/>
      </c>
      <c r="Y24" s="573">
        <f>Costs!X25</f>
        <v/>
      </c>
      <c r="Z24" s="573">
        <f>Costs!Y25</f>
        <v/>
      </c>
      <c r="AA24" s="573">
        <f>Costs!Z25</f>
        <v/>
      </c>
      <c r="AB24" s="573">
        <f>Costs!AA25</f>
        <v/>
      </c>
      <c r="AC24" s="573">
        <f>Costs!AB25</f>
        <v/>
      </c>
      <c r="AD24" s="573">
        <f>Costs!AC25</f>
        <v/>
      </c>
      <c r="AE24" s="573">
        <f>Costs!AD25</f>
        <v/>
      </c>
      <c r="AF24" s="573">
        <f>Costs!AE25</f>
        <v/>
      </c>
      <c r="AG24" s="573">
        <f>Costs!AF25</f>
        <v/>
      </c>
    </row>
    <row r="25" ht="16.5" customFormat="1" customHeight="1" s="218">
      <c r="B25" s="251" t="inlineStr">
        <is>
          <t>EBITDA ($)</t>
        </is>
      </c>
      <c r="C25" s="574">
        <f>C23-C24</f>
        <v/>
      </c>
      <c r="D25" s="574">
        <f>D23-D24</f>
        <v/>
      </c>
      <c r="E25" s="574">
        <f>E23-E24</f>
        <v/>
      </c>
      <c r="F25" s="574">
        <f>F23-F24</f>
        <v/>
      </c>
      <c r="G25" s="574">
        <f>G23-G24</f>
        <v/>
      </c>
      <c r="H25" s="574">
        <f>H23-H24</f>
        <v/>
      </c>
      <c r="I25" s="574">
        <f>I23-I24</f>
        <v/>
      </c>
      <c r="J25" s="574">
        <f>J23-J24</f>
        <v/>
      </c>
      <c r="K25" s="574">
        <f>K23-K24</f>
        <v/>
      </c>
      <c r="L25" s="574">
        <f>L23-L24</f>
        <v/>
      </c>
      <c r="M25" s="574">
        <f>M23-M24</f>
        <v/>
      </c>
      <c r="N25" s="574">
        <f>N23-N24</f>
        <v/>
      </c>
      <c r="O25" s="574">
        <f>O23-O24</f>
        <v/>
      </c>
      <c r="P25" s="574">
        <f>P23-P24</f>
        <v/>
      </c>
      <c r="Q25" s="574">
        <f>Q23-Q24</f>
        <v/>
      </c>
      <c r="R25" s="574">
        <f>R23-R24</f>
        <v/>
      </c>
      <c r="S25" s="574">
        <f>S23-S24</f>
        <v/>
      </c>
      <c r="T25" s="574">
        <f>T23-T24</f>
        <v/>
      </c>
      <c r="U25" s="574">
        <f>U23-U24</f>
        <v/>
      </c>
      <c r="V25" s="574">
        <f>V23-V24</f>
        <v/>
      </c>
      <c r="W25" s="574">
        <f>W23-W24</f>
        <v/>
      </c>
      <c r="X25" s="574">
        <f>X23-X24</f>
        <v/>
      </c>
      <c r="Y25" s="574">
        <f>Y23-Y24</f>
        <v/>
      </c>
      <c r="Z25" s="574">
        <f>Z23-Z24</f>
        <v/>
      </c>
      <c r="AA25" s="574">
        <f>AA23-AA24</f>
        <v/>
      </c>
      <c r="AB25" s="574">
        <f>AB23-AB24</f>
        <v/>
      </c>
      <c r="AC25" s="574">
        <f>AC23-AC24</f>
        <v/>
      </c>
      <c r="AD25" s="574">
        <f>AD23-AD24</f>
        <v/>
      </c>
      <c r="AE25" s="574">
        <f>AE23-AE24</f>
        <v/>
      </c>
      <c r="AF25" s="574">
        <f>AF23-AF24</f>
        <v/>
      </c>
      <c r="AG25" s="574">
        <f>AG23-AG24</f>
        <v/>
      </c>
    </row>
    <row r="26" ht="16.5" customFormat="1" customHeight="1" s="218">
      <c r="B26" s="278" t="inlineStr">
        <is>
          <t>Interest Expense ($)</t>
        </is>
      </c>
      <c r="C26" s="573" t="n">
        <v>0</v>
      </c>
      <c r="D26" s="573">
        <f>Debt!C23</f>
        <v/>
      </c>
      <c r="E26" s="573">
        <f>Debt!D23</f>
        <v/>
      </c>
      <c r="F26" s="573">
        <f>Debt!E23</f>
        <v/>
      </c>
      <c r="G26" s="573">
        <f>Debt!F23</f>
        <v/>
      </c>
      <c r="H26" s="573">
        <f>Debt!G23</f>
        <v/>
      </c>
      <c r="I26" s="573">
        <f>Debt!H23</f>
        <v/>
      </c>
      <c r="J26" s="573">
        <f>Debt!I23</f>
        <v/>
      </c>
      <c r="K26" s="573">
        <f>Debt!J23</f>
        <v/>
      </c>
      <c r="L26" s="573">
        <f>Debt!K23</f>
        <v/>
      </c>
      <c r="M26" s="573">
        <f>Debt!L23</f>
        <v/>
      </c>
      <c r="N26" s="573">
        <f>Debt!M23</f>
        <v/>
      </c>
      <c r="O26" s="573">
        <f>Debt!N23</f>
        <v/>
      </c>
      <c r="P26" s="573">
        <f>Debt!O23</f>
        <v/>
      </c>
      <c r="Q26" s="573">
        <f>Debt!P23</f>
        <v/>
      </c>
      <c r="R26" s="573">
        <f>Debt!Q23</f>
        <v/>
      </c>
      <c r="S26" s="573">
        <f>Debt!R23</f>
        <v/>
      </c>
      <c r="T26" s="573">
        <f>Debt!S23</f>
        <v/>
      </c>
      <c r="U26" s="573">
        <f>Debt!T23</f>
        <v/>
      </c>
      <c r="V26" s="573">
        <f>Debt!U23</f>
        <v/>
      </c>
      <c r="W26" s="573">
        <f>Debt!V23</f>
        <v/>
      </c>
      <c r="X26" s="573">
        <f>Debt!W23</f>
        <v/>
      </c>
      <c r="Y26" s="573">
        <f>Debt!X23</f>
        <v/>
      </c>
      <c r="Z26" s="573">
        <f>Debt!Y23</f>
        <v/>
      </c>
      <c r="AA26" s="573">
        <f>Debt!Z23</f>
        <v/>
      </c>
      <c r="AB26" s="573">
        <f>Debt!AA23</f>
        <v/>
      </c>
      <c r="AC26" s="573">
        <f>Debt!AB23</f>
        <v/>
      </c>
      <c r="AD26" s="573">
        <f>Debt!AC23</f>
        <v/>
      </c>
      <c r="AE26" s="573">
        <f>Debt!AD23</f>
        <v/>
      </c>
      <c r="AF26" s="573">
        <f>Debt!AE23</f>
        <v/>
      </c>
      <c r="AG26" s="573">
        <f>Debt!AF23</f>
        <v/>
      </c>
    </row>
    <row r="27" ht="16.5" customFormat="1" customHeight="1" s="218">
      <c r="B27" s="251" t="inlineStr">
        <is>
          <t>Applied Depreciation ($)</t>
        </is>
      </c>
      <c r="C27" s="574" t="n">
        <v>0</v>
      </c>
      <c r="D27" s="574">
        <f>Tax!C62</f>
        <v/>
      </c>
      <c r="E27" s="574">
        <f>Tax!D62</f>
        <v/>
      </c>
      <c r="F27" s="574">
        <f>Tax!E62</f>
        <v/>
      </c>
      <c r="G27" s="574">
        <f>Tax!F62</f>
        <v/>
      </c>
      <c r="H27" s="574">
        <f>Tax!G62</f>
        <v/>
      </c>
      <c r="I27" s="574">
        <f>Tax!H62</f>
        <v/>
      </c>
      <c r="J27" s="574">
        <f>Tax!I62</f>
        <v/>
      </c>
      <c r="K27" s="574">
        <f>Tax!J62</f>
        <v/>
      </c>
      <c r="L27" s="574">
        <f>Tax!K62</f>
        <v/>
      </c>
      <c r="M27" s="574">
        <f>Tax!L62</f>
        <v/>
      </c>
      <c r="N27" s="574">
        <f>Tax!M62</f>
        <v/>
      </c>
      <c r="O27" s="574">
        <f>Tax!N62</f>
        <v/>
      </c>
      <c r="P27" s="574">
        <f>Tax!O62</f>
        <v/>
      </c>
      <c r="Q27" s="574">
        <f>Tax!P62</f>
        <v/>
      </c>
      <c r="R27" s="574">
        <f>Tax!Q62</f>
        <v/>
      </c>
      <c r="S27" s="574">
        <f>Tax!R62</f>
        <v/>
      </c>
      <c r="T27" s="574">
        <f>Tax!S62</f>
        <v/>
      </c>
      <c r="U27" s="574">
        <f>Tax!T62</f>
        <v/>
      </c>
      <c r="V27" s="574">
        <f>Tax!U62</f>
        <v/>
      </c>
      <c r="W27" s="574">
        <f>Tax!V62</f>
        <v/>
      </c>
      <c r="X27" s="574">
        <f>Tax!W62</f>
        <v/>
      </c>
      <c r="Y27" s="574">
        <f>Tax!X62</f>
        <v/>
      </c>
      <c r="Z27" s="574">
        <f>Tax!Y62</f>
        <v/>
      </c>
      <c r="AA27" s="574">
        <f>Tax!Z62</f>
        <v/>
      </c>
      <c r="AB27" s="574">
        <f>Tax!AA62</f>
        <v/>
      </c>
      <c r="AC27" s="574">
        <f>Tax!AB62</f>
        <v/>
      </c>
      <c r="AD27" s="574">
        <f>Tax!AC62</f>
        <v/>
      </c>
      <c r="AE27" s="574">
        <f>Tax!AD62</f>
        <v/>
      </c>
      <c r="AF27" s="574">
        <f>Tax!AE62</f>
        <v/>
      </c>
      <c r="AG27" s="574">
        <f>Tax!AF62</f>
        <v/>
      </c>
    </row>
    <row r="28" ht="16.5" customFormat="1" customHeight="1" s="218">
      <c r="B28" s="278" t="inlineStr">
        <is>
          <t>Taxable Income (Levered) ($)</t>
        </is>
      </c>
      <c r="C28" s="573">
        <f>C25-C26-C27</f>
        <v/>
      </c>
      <c r="D28" s="573">
        <f>D25-D26-D27</f>
        <v/>
      </c>
      <c r="E28" s="573">
        <f>E25-E26-E27</f>
        <v/>
      </c>
      <c r="F28" s="573">
        <f>F25-F26-F27</f>
        <v/>
      </c>
      <c r="G28" s="573">
        <f>G25-G26-G27</f>
        <v/>
      </c>
      <c r="H28" s="573">
        <f>H25-H26-H27</f>
        <v/>
      </c>
      <c r="I28" s="573">
        <f>I25-I26-I27</f>
        <v/>
      </c>
      <c r="J28" s="573">
        <f>J25-J26-J27</f>
        <v/>
      </c>
      <c r="K28" s="573">
        <f>K25-K26-K27</f>
        <v/>
      </c>
      <c r="L28" s="573">
        <f>L25-L26-L27</f>
        <v/>
      </c>
      <c r="M28" s="573">
        <f>M25-M26-M27</f>
        <v/>
      </c>
      <c r="N28" s="573">
        <f>N25-N26-N27</f>
        <v/>
      </c>
      <c r="O28" s="573">
        <f>O25-O26-O27</f>
        <v/>
      </c>
      <c r="P28" s="573">
        <f>P25-P26-P27</f>
        <v/>
      </c>
      <c r="Q28" s="573">
        <f>Q25-Q26-Q27</f>
        <v/>
      </c>
      <c r="R28" s="573">
        <f>R25-R26-R27</f>
        <v/>
      </c>
      <c r="S28" s="573">
        <f>S25-S26-S27</f>
        <v/>
      </c>
      <c r="T28" s="573">
        <f>T25-T26-T27</f>
        <v/>
      </c>
      <c r="U28" s="573">
        <f>U25-U26-U27</f>
        <v/>
      </c>
      <c r="V28" s="573">
        <f>V25-V26-V27</f>
        <v/>
      </c>
      <c r="W28" s="573">
        <f>W25-W26-W27</f>
        <v/>
      </c>
      <c r="X28" s="573">
        <f>X25-X26-X27</f>
        <v/>
      </c>
      <c r="Y28" s="573">
        <f>Y25-Y26-Y27</f>
        <v/>
      </c>
      <c r="Z28" s="573">
        <f>Z25-Z26-Z27</f>
        <v/>
      </c>
      <c r="AA28" s="573">
        <f>AA25-AA26-AA27</f>
        <v/>
      </c>
      <c r="AB28" s="573">
        <f>AB25-AB26-AB27</f>
        <v/>
      </c>
      <c r="AC28" s="573">
        <f>AC25-AC26-AC27</f>
        <v/>
      </c>
      <c r="AD28" s="573">
        <f>AD25-AD26-AD27</f>
        <v/>
      </c>
      <c r="AE28" s="573">
        <f>AE25-AE26-AE27</f>
        <v/>
      </c>
      <c r="AF28" s="573">
        <f>AF25-AF26-AF27</f>
        <v/>
      </c>
      <c r="AG28" s="573">
        <f>AG25-AG26-AG27</f>
        <v/>
      </c>
    </row>
    <row r="29" ht="16.5" customFormat="1" customHeight="1" s="218">
      <c r="B29" s="251" t="inlineStr">
        <is>
          <t>Levered Cash Tax ($)</t>
        </is>
      </c>
      <c r="C29" s="574" t="n">
        <v>0</v>
      </c>
      <c r="D29" s="574">
        <f>Tax!C71</f>
        <v/>
      </c>
      <c r="E29" s="574">
        <f>Tax!D71</f>
        <v/>
      </c>
      <c r="F29" s="574">
        <f>Tax!E71</f>
        <v/>
      </c>
      <c r="G29" s="574">
        <f>Tax!F71</f>
        <v/>
      </c>
      <c r="H29" s="574">
        <f>Tax!G71</f>
        <v/>
      </c>
      <c r="I29" s="574">
        <f>Tax!H71</f>
        <v/>
      </c>
      <c r="J29" s="574">
        <f>Tax!I71</f>
        <v/>
      </c>
      <c r="K29" s="574">
        <f>Tax!J71</f>
        <v/>
      </c>
      <c r="L29" s="574">
        <f>Tax!K71</f>
        <v/>
      </c>
      <c r="M29" s="574">
        <f>Tax!L71</f>
        <v/>
      </c>
      <c r="N29" s="574">
        <f>Tax!M71</f>
        <v/>
      </c>
      <c r="O29" s="574">
        <f>Tax!N71</f>
        <v/>
      </c>
      <c r="P29" s="574">
        <f>Tax!O71</f>
        <v/>
      </c>
      <c r="Q29" s="574">
        <f>Tax!P71</f>
        <v/>
      </c>
      <c r="R29" s="574">
        <f>Tax!Q71</f>
        <v/>
      </c>
      <c r="S29" s="574">
        <f>Tax!R71</f>
        <v/>
      </c>
      <c r="T29" s="574">
        <f>Tax!S71</f>
        <v/>
      </c>
      <c r="U29" s="574">
        <f>Tax!T71</f>
        <v/>
      </c>
      <c r="V29" s="574">
        <f>Tax!U71</f>
        <v/>
      </c>
      <c r="W29" s="574">
        <f>Tax!V71</f>
        <v/>
      </c>
      <c r="X29" s="574">
        <f>Tax!W71</f>
        <v/>
      </c>
      <c r="Y29" s="574">
        <f>Tax!X71</f>
        <v/>
      </c>
      <c r="Z29" s="574">
        <f>Tax!Y71</f>
        <v/>
      </c>
      <c r="AA29" s="574">
        <f>Tax!Z71</f>
        <v/>
      </c>
      <c r="AB29" s="574">
        <f>Tax!AA71</f>
        <v/>
      </c>
      <c r="AC29" s="574">
        <f>Tax!AB71</f>
        <v/>
      </c>
      <c r="AD29" s="574">
        <f>Tax!AC71</f>
        <v/>
      </c>
      <c r="AE29" s="574">
        <f>Tax!AD71</f>
        <v/>
      </c>
      <c r="AF29" s="574">
        <f>Tax!AE71</f>
        <v/>
      </c>
      <c r="AG29" s="574">
        <f>Tax!AF71</f>
        <v/>
      </c>
    </row>
    <row r="30" ht="16.5" customFormat="1" customHeight="1" s="218">
      <c r="B30" s="278" t="inlineStr">
        <is>
          <t>Annual Interest Tax Shield (Year N)</t>
        </is>
      </c>
      <c r="C30" s="573" t="n">
        <v>0</v>
      </c>
      <c r="D30" s="573">
        <f>D12-D29</f>
        <v/>
      </c>
      <c r="E30" s="573">
        <f>E12-E29</f>
        <v/>
      </c>
      <c r="F30" s="573">
        <f>F12-F29</f>
        <v/>
      </c>
      <c r="G30" s="573">
        <f>G12-G29</f>
        <v/>
      </c>
      <c r="H30" s="573">
        <f>H12-H29</f>
        <v/>
      </c>
      <c r="I30" s="573">
        <f>I12-I29</f>
        <v/>
      </c>
      <c r="J30" s="573">
        <f>J12-J29</f>
        <v/>
      </c>
      <c r="K30" s="573">
        <f>K12-K29</f>
        <v/>
      </c>
      <c r="L30" s="573">
        <f>L12-L29</f>
        <v/>
      </c>
      <c r="M30" s="573">
        <f>M12-M29</f>
        <v/>
      </c>
      <c r="N30" s="573">
        <f>N12-N29</f>
        <v/>
      </c>
      <c r="O30" s="573">
        <f>O12-O29</f>
        <v/>
      </c>
      <c r="P30" s="573">
        <f>P12-P29</f>
        <v/>
      </c>
      <c r="Q30" s="573">
        <f>Q12-Q29</f>
        <v/>
      </c>
      <c r="R30" s="573">
        <f>R12-R29</f>
        <v/>
      </c>
      <c r="S30" s="573">
        <f>S12-S29</f>
        <v/>
      </c>
      <c r="T30" s="573">
        <f>T12-T29</f>
        <v/>
      </c>
      <c r="U30" s="573">
        <f>U12-U29</f>
        <v/>
      </c>
      <c r="V30" s="573">
        <f>V12-V29</f>
        <v/>
      </c>
      <c r="W30" s="573">
        <f>W12-W29</f>
        <v/>
      </c>
      <c r="X30" s="573">
        <f>X12-X29</f>
        <v/>
      </c>
      <c r="Y30" s="573">
        <f>Y12-Y29</f>
        <v/>
      </c>
      <c r="Z30" s="573">
        <f>Z12-Z29</f>
        <v/>
      </c>
      <c r="AA30" s="573">
        <f>AA12-AA29</f>
        <v/>
      </c>
      <c r="AB30" s="573">
        <f>AB12-AB29</f>
        <v/>
      </c>
      <c r="AC30" s="573">
        <f>AC12-AC29</f>
        <v/>
      </c>
      <c r="AD30" s="573">
        <f>AD12-AD29</f>
        <v/>
      </c>
      <c r="AE30" s="573">
        <f>AE12-AE29</f>
        <v/>
      </c>
      <c r="AF30" s="573">
        <f>AF12-AF29</f>
        <v/>
      </c>
      <c r="AG30" s="573">
        <f>AG12-AG29</f>
        <v/>
      </c>
    </row>
    <row r="31" ht="16.5" customFormat="1" customHeight="1" s="218">
      <c r="B31" s="251" t="inlineStr">
        <is>
          <t>Depreciation Add-Back ($)</t>
        </is>
      </c>
      <c r="C31" s="574" t="n">
        <v>0</v>
      </c>
      <c r="D31" s="574">
        <f>Tax!C62</f>
        <v/>
      </c>
      <c r="E31" s="574">
        <f>Tax!D62</f>
        <v/>
      </c>
      <c r="F31" s="574">
        <f>Tax!E62</f>
        <v/>
      </c>
      <c r="G31" s="574">
        <f>Tax!F62</f>
        <v/>
      </c>
      <c r="H31" s="574">
        <f>Tax!G62</f>
        <v/>
      </c>
      <c r="I31" s="574">
        <f>Tax!H62</f>
        <v/>
      </c>
      <c r="J31" s="574">
        <f>Tax!I62</f>
        <v/>
      </c>
      <c r="K31" s="574">
        <f>Tax!J62</f>
        <v/>
      </c>
      <c r="L31" s="574">
        <f>Tax!K62</f>
        <v/>
      </c>
      <c r="M31" s="574">
        <f>Tax!L62</f>
        <v/>
      </c>
      <c r="N31" s="574">
        <f>Tax!M62</f>
        <v/>
      </c>
      <c r="O31" s="574">
        <f>Tax!N62</f>
        <v/>
      </c>
      <c r="P31" s="574">
        <f>Tax!O62</f>
        <v/>
      </c>
      <c r="Q31" s="574">
        <f>Tax!P62</f>
        <v/>
      </c>
      <c r="R31" s="574">
        <f>Tax!Q62</f>
        <v/>
      </c>
      <c r="S31" s="574">
        <f>Tax!R62</f>
        <v/>
      </c>
      <c r="T31" s="574">
        <f>Tax!S62</f>
        <v/>
      </c>
      <c r="U31" s="574">
        <f>Tax!T62</f>
        <v/>
      </c>
      <c r="V31" s="574">
        <f>Tax!U62</f>
        <v/>
      </c>
      <c r="W31" s="574">
        <f>Tax!V62</f>
        <v/>
      </c>
      <c r="X31" s="574">
        <f>Tax!W62</f>
        <v/>
      </c>
      <c r="Y31" s="574">
        <f>Tax!X62</f>
        <v/>
      </c>
      <c r="Z31" s="574">
        <f>Tax!Y62</f>
        <v/>
      </c>
      <c r="AA31" s="574">
        <f>Tax!Z62</f>
        <v/>
      </c>
      <c r="AB31" s="574">
        <f>Tax!AA62</f>
        <v/>
      </c>
      <c r="AC31" s="574">
        <f>Tax!AB62</f>
        <v/>
      </c>
      <c r="AD31" s="574">
        <f>Tax!AC62</f>
        <v/>
      </c>
      <c r="AE31" s="574">
        <f>Tax!AD62</f>
        <v/>
      </c>
      <c r="AF31" s="574">
        <f>Tax!AE62</f>
        <v/>
      </c>
      <c r="AG31" s="574">
        <f>Tax!AF62</f>
        <v/>
      </c>
    </row>
    <row r="32" ht="18" customFormat="1" customHeight="1" s="218">
      <c r="B32" s="351" t="inlineStr">
        <is>
          <t>CFADS ($)</t>
        </is>
      </c>
      <c r="C32" s="575">
        <f>C25-C29</f>
        <v/>
      </c>
      <c r="D32" s="575">
        <f>D25-D29</f>
        <v/>
      </c>
      <c r="E32" s="575">
        <f>E25-E29</f>
        <v/>
      </c>
      <c r="F32" s="575">
        <f>F25-F29</f>
        <v/>
      </c>
      <c r="G32" s="575">
        <f>G25-G29</f>
        <v/>
      </c>
      <c r="H32" s="575">
        <f>H25-H29</f>
        <v/>
      </c>
      <c r="I32" s="575">
        <f>I25-I29</f>
        <v/>
      </c>
      <c r="J32" s="575">
        <f>J25-J29</f>
        <v/>
      </c>
      <c r="K32" s="575">
        <f>K25-K29</f>
        <v/>
      </c>
      <c r="L32" s="575">
        <f>L25-L29</f>
        <v/>
      </c>
      <c r="M32" s="575">
        <f>M25-M29</f>
        <v/>
      </c>
      <c r="N32" s="575">
        <f>N25-N29</f>
        <v/>
      </c>
      <c r="O32" s="575">
        <f>O25-O29</f>
        <v/>
      </c>
      <c r="P32" s="575">
        <f>P25-P29</f>
        <v/>
      </c>
      <c r="Q32" s="575">
        <f>Q25-Q29</f>
        <v/>
      </c>
      <c r="R32" s="575">
        <f>R25-R29</f>
        <v/>
      </c>
      <c r="S32" s="575">
        <f>S25-S29</f>
        <v/>
      </c>
      <c r="T32" s="575">
        <f>T25-T29</f>
        <v/>
      </c>
      <c r="U32" s="575">
        <f>U25-U29</f>
        <v/>
      </c>
      <c r="V32" s="575">
        <f>V25-V29</f>
        <v/>
      </c>
      <c r="W32" s="575">
        <f>W25-W29</f>
        <v/>
      </c>
      <c r="X32" s="575">
        <f>X25-X29</f>
        <v/>
      </c>
      <c r="Y32" s="575">
        <f>Y25-Y29</f>
        <v/>
      </c>
      <c r="Z32" s="575">
        <f>Z25-Z29</f>
        <v/>
      </c>
      <c r="AA32" s="575">
        <f>AA25-AA29</f>
        <v/>
      </c>
      <c r="AB32" s="575">
        <f>AB25-AB29</f>
        <v/>
      </c>
      <c r="AC32" s="575">
        <f>AC25-AC29</f>
        <v/>
      </c>
      <c r="AD32" s="575">
        <f>AD25-AD29</f>
        <v/>
      </c>
      <c r="AE32" s="575">
        <f>AE25-AE29</f>
        <v/>
      </c>
      <c r="AF32" s="575">
        <f>AF25-AF29</f>
        <v/>
      </c>
      <c r="AG32" s="575">
        <f>AG25-AG29</f>
        <v/>
      </c>
    </row>
    <row r="33" ht="16.5" customFormat="1" customHeight="1" s="218">
      <c r="B33" s="251" t="inlineStr">
        <is>
          <t>Total Debt Service ($)</t>
        </is>
      </c>
      <c r="C33" s="574" t="n">
        <v>0</v>
      </c>
      <c r="D33" s="574">
        <f>Debt!C24</f>
        <v/>
      </c>
      <c r="E33" s="574">
        <f>Debt!D24</f>
        <v/>
      </c>
      <c r="F33" s="574">
        <f>Debt!E24</f>
        <v/>
      </c>
      <c r="G33" s="574">
        <f>Debt!F24</f>
        <v/>
      </c>
      <c r="H33" s="574">
        <f>Debt!G24</f>
        <v/>
      </c>
      <c r="I33" s="574">
        <f>Debt!H24</f>
        <v/>
      </c>
      <c r="J33" s="574">
        <f>Debt!I24</f>
        <v/>
      </c>
      <c r="K33" s="574">
        <f>Debt!J24</f>
        <v/>
      </c>
      <c r="L33" s="574">
        <f>Debt!K24</f>
        <v/>
      </c>
      <c r="M33" s="574">
        <f>Debt!L24</f>
        <v/>
      </c>
      <c r="N33" s="574">
        <f>Debt!M24</f>
        <v/>
      </c>
      <c r="O33" s="574">
        <f>Debt!N24</f>
        <v/>
      </c>
      <c r="P33" s="574">
        <f>Debt!O24</f>
        <v/>
      </c>
      <c r="Q33" s="574">
        <f>Debt!P24</f>
        <v/>
      </c>
      <c r="R33" s="574">
        <f>Debt!Q24</f>
        <v/>
      </c>
      <c r="S33" s="574">
        <f>Debt!R24</f>
        <v/>
      </c>
      <c r="T33" s="574">
        <f>Debt!S24</f>
        <v/>
      </c>
      <c r="U33" s="574">
        <f>Debt!T24</f>
        <v/>
      </c>
      <c r="V33" s="574">
        <f>Debt!U24</f>
        <v/>
      </c>
      <c r="W33" s="574">
        <f>Debt!V24</f>
        <v/>
      </c>
      <c r="X33" s="574">
        <f>Debt!W24</f>
        <v/>
      </c>
      <c r="Y33" s="574">
        <f>Debt!X24</f>
        <v/>
      </c>
      <c r="Z33" s="574">
        <f>Debt!Y24</f>
        <v/>
      </c>
      <c r="AA33" s="574">
        <f>Debt!Z24</f>
        <v/>
      </c>
      <c r="AB33" s="574">
        <f>Debt!AA24</f>
        <v/>
      </c>
      <c r="AC33" s="574">
        <f>Debt!AB24</f>
        <v/>
      </c>
      <c r="AD33" s="574">
        <f>Debt!AC24</f>
        <v/>
      </c>
      <c r="AE33" s="574">
        <f>Debt!AD24</f>
        <v/>
      </c>
      <c r="AF33" s="574">
        <f>Debt!AE24</f>
        <v/>
      </c>
      <c r="AG33" s="574">
        <f>Debt!AF24</f>
        <v/>
      </c>
    </row>
    <row r="34" ht="18" customFormat="1" customHeight="1" s="218">
      <c r="B34" s="351" t="inlineStr">
        <is>
          <t>Free Cash Flow to Equity ($)</t>
        </is>
      </c>
      <c r="C34" s="575">
        <f>C32-C33</f>
        <v/>
      </c>
      <c r="D34" s="575">
        <f>D32-D33</f>
        <v/>
      </c>
      <c r="E34" s="575">
        <f>E32-E33</f>
        <v/>
      </c>
      <c r="F34" s="575">
        <f>F32-F33</f>
        <v/>
      </c>
      <c r="G34" s="575">
        <f>G32-G33</f>
        <v/>
      </c>
      <c r="H34" s="575">
        <f>H32-H33</f>
        <v/>
      </c>
      <c r="I34" s="575">
        <f>I32-I33</f>
        <v/>
      </c>
      <c r="J34" s="575">
        <f>J32-J33</f>
        <v/>
      </c>
      <c r="K34" s="575">
        <f>K32-K33</f>
        <v/>
      </c>
      <c r="L34" s="575">
        <f>L32-L33</f>
        <v/>
      </c>
      <c r="M34" s="575">
        <f>M32-M33</f>
        <v/>
      </c>
      <c r="N34" s="575">
        <f>N32-N33</f>
        <v/>
      </c>
      <c r="O34" s="575">
        <f>O32-O33</f>
        <v/>
      </c>
      <c r="P34" s="575">
        <f>P32-P33</f>
        <v/>
      </c>
      <c r="Q34" s="575">
        <f>Q32-Q33</f>
        <v/>
      </c>
      <c r="R34" s="575">
        <f>R32-R33</f>
        <v/>
      </c>
      <c r="S34" s="575">
        <f>S32-S33</f>
        <v/>
      </c>
      <c r="T34" s="575">
        <f>T32-T33</f>
        <v/>
      </c>
      <c r="U34" s="575">
        <f>U32-U33</f>
        <v/>
      </c>
      <c r="V34" s="575">
        <f>V32-V33</f>
        <v/>
      </c>
      <c r="W34" s="575">
        <f>W32-W33</f>
        <v/>
      </c>
      <c r="X34" s="575">
        <f>X32-X33</f>
        <v/>
      </c>
      <c r="Y34" s="575">
        <f>Y32-Y33</f>
        <v/>
      </c>
      <c r="Z34" s="575">
        <f>Z32-Z33</f>
        <v/>
      </c>
      <c r="AA34" s="575">
        <f>AA32-AA33</f>
        <v/>
      </c>
      <c r="AB34" s="575">
        <f>AB32-AB33</f>
        <v/>
      </c>
      <c r="AC34" s="575">
        <f>AC32-AC33</f>
        <v/>
      </c>
      <c r="AD34" s="575">
        <f>AD32-AD33</f>
        <v/>
      </c>
      <c r="AE34" s="575">
        <f>AE32-AE33</f>
        <v/>
      </c>
      <c r="AF34" s="575">
        <f>AF32-AF33</f>
        <v/>
      </c>
      <c r="AG34" s="575">
        <f>AG32-AG33</f>
        <v/>
      </c>
    </row>
    <row r="35" ht="18" customFormat="1" customHeight="1" s="218">
      <c r="B35" s="368" t="inlineStr">
        <is>
          <t>Equity Cash Flow ($)</t>
        </is>
      </c>
      <c r="C35" s="581">
        <f>C22</f>
        <v/>
      </c>
      <c r="D35" s="581">
        <f>D34</f>
        <v/>
      </c>
      <c r="E35" s="581">
        <f>E34</f>
        <v/>
      </c>
      <c r="F35" s="581">
        <f>F34</f>
        <v/>
      </c>
      <c r="G35" s="581">
        <f>G34</f>
        <v/>
      </c>
      <c r="H35" s="581">
        <f>H34</f>
        <v/>
      </c>
      <c r="I35" s="581">
        <f>I34</f>
        <v/>
      </c>
      <c r="J35" s="581">
        <f>J34</f>
        <v/>
      </c>
      <c r="K35" s="581">
        <f>K34</f>
        <v/>
      </c>
      <c r="L35" s="581">
        <f>L34</f>
        <v/>
      </c>
      <c r="M35" s="581">
        <f>M34</f>
        <v/>
      </c>
      <c r="N35" s="581">
        <f>N34</f>
        <v/>
      </c>
      <c r="O35" s="581">
        <f>O34</f>
        <v/>
      </c>
      <c r="P35" s="581">
        <f>P34</f>
        <v/>
      </c>
      <c r="Q35" s="581">
        <f>Q34</f>
        <v/>
      </c>
      <c r="R35" s="581">
        <f>R34</f>
        <v/>
      </c>
      <c r="S35" s="581">
        <f>S34</f>
        <v/>
      </c>
      <c r="T35" s="581">
        <f>T34</f>
        <v/>
      </c>
      <c r="U35" s="581">
        <f>U34</f>
        <v/>
      </c>
      <c r="V35" s="581">
        <f>V34</f>
        <v/>
      </c>
      <c r="W35" s="581">
        <f>W34</f>
        <v/>
      </c>
      <c r="X35" s="581">
        <f>X34</f>
        <v/>
      </c>
      <c r="Y35" s="581">
        <f>Y34</f>
        <v/>
      </c>
      <c r="Z35" s="581">
        <f>Z34</f>
        <v/>
      </c>
      <c r="AA35" s="581">
        <f>AA34</f>
        <v/>
      </c>
      <c r="AB35" s="581">
        <f>AB34</f>
        <v/>
      </c>
      <c r="AC35" s="581">
        <f>AC34</f>
        <v/>
      </c>
      <c r="AD35" s="581">
        <f>AD34</f>
        <v/>
      </c>
      <c r="AE35" s="581">
        <f>AE34</f>
        <v/>
      </c>
      <c r="AF35" s="581">
        <f>AF34</f>
        <v/>
      </c>
      <c r="AG35" s="581">
        <f>AG34</f>
        <v/>
      </c>
    </row>
    <row r="36" ht="16.5" customFormat="1" customHeight="1" s="218">
      <c r="B36" s="370" t="inlineStr">
        <is>
          <t>Cumulative FCF (Year N)</t>
        </is>
      </c>
      <c r="C36" s="582">
        <f>C35</f>
        <v/>
      </c>
      <c r="D36" s="583">
        <f>C36+D35</f>
        <v/>
      </c>
      <c r="E36" s="583">
        <f>D36+E35</f>
        <v/>
      </c>
      <c r="F36" s="583">
        <f>E36+F35</f>
        <v/>
      </c>
      <c r="G36" s="583">
        <f>F36+G35</f>
        <v/>
      </c>
      <c r="H36" s="583">
        <f>G36+H35</f>
        <v/>
      </c>
      <c r="I36" s="583">
        <f>H36+I35</f>
        <v/>
      </c>
      <c r="J36" s="583">
        <f>I36+J35</f>
        <v/>
      </c>
      <c r="K36" s="583">
        <f>J36+K35</f>
        <v/>
      </c>
      <c r="L36" s="583">
        <f>K36+L35</f>
        <v/>
      </c>
      <c r="M36" s="583">
        <f>L36+M35</f>
        <v/>
      </c>
      <c r="N36" s="583">
        <f>M36+N35</f>
        <v/>
      </c>
      <c r="O36" s="583">
        <f>N36+O35</f>
        <v/>
      </c>
      <c r="P36" s="583">
        <f>O36+P35</f>
        <v/>
      </c>
      <c r="Q36" s="583">
        <f>P36+Q35</f>
        <v/>
      </c>
      <c r="R36" s="583">
        <f>Q36+R35</f>
        <v/>
      </c>
      <c r="S36" s="583">
        <f>R36+S35</f>
        <v/>
      </c>
      <c r="T36" s="583">
        <f>S36+T35</f>
        <v/>
      </c>
      <c r="U36" s="583">
        <f>T36+U35</f>
        <v/>
      </c>
      <c r="V36" s="583">
        <f>U36+V35</f>
        <v/>
      </c>
      <c r="W36" s="583">
        <f>V36+W35</f>
        <v/>
      </c>
      <c r="X36" s="583">
        <f>W36+X35</f>
        <v/>
      </c>
      <c r="Y36" s="583">
        <f>X36+Y35</f>
        <v/>
      </c>
      <c r="Z36" s="583">
        <f>Y36+Z35</f>
        <v/>
      </c>
      <c r="AA36" s="583">
        <f>Z36+AA35</f>
        <v/>
      </c>
      <c r="AB36" s="583">
        <f>AA36+AB35</f>
        <v/>
      </c>
      <c r="AC36" s="583">
        <f>AB36+AC35</f>
        <v/>
      </c>
      <c r="AD36" s="583">
        <f>AC36+AD35</f>
        <v/>
      </c>
      <c r="AE36" s="583">
        <f>AD36+AE35</f>
        <v/>
      </c>
      <c r="AF36" s="583">
        <f>AE36+AF35</f>
        <v/>
      </c>
      <c r="AG36" s="583">
        <f>AF36+AG35</f>
        <v/>
      </c>
    </row>
    <row r="37" ht="19.5" customHeight="1" s="534">
      <c r="B37" s="379" t="inlineStr">
        <is>
          <t>Equity IRR</t>
        </is>
      </c>
      <c r="C37" s="380">
        <f>IRR(C35:AG35)</f>
        <v/>
      </c>
      <c r="D37" s="202" t="n"/>
      <c r="E37" s="202" t="n"/>
      <c r="F37" s="202" t="n"/>
      <c r="G37" s="202" t="n"/>
      <c r="H37" s="202" t="n"/>
      <c r="I37" s="202" t="n"/>
      <c r="J37" s="202" t="n"/>
      <c r="K37" s="202" t="n"/>
      <c r="L37" s="202" t="n"/>
      <c r="M37" s="202" t="n"/>
      <c r="N37" s="202" t="n"/>
      <c r="O37" s="202" t="n"/>
      <c r="P37" s="202" t="n"/>
      <c r="Q37" s="202" t="n"/>
      <c r="R37" s="202" t="n"/>
      <c r="S37" s="202" t="n"/>
      <c r="T37" s="202" t="n"/>
      <c r="U37" s="202" t="n"/>
      <c r="V37" s="202" t="n"/>
      <c r="W37" s="202" t="n"/>
      <c r="X37" s="202" t="n"/>
      <c r="Y37" s="202" t="n"/>
      <c r="Z37" s="202" t="n"/>
      <c r="AA37" s="202" t="n"/>
      <c r="AB37" s="202" t="n"/>
      <c r="AC37" s="202" t="n"/>
      <c r="AD37" s="202" t="n"/>
      <c r="AE37" s="202" t="n"/>
      <c r="AF37" s="202" t="n"/>
      <c r="AG37" s="202" t="n"/>
    </row>
    <row r="38" ht="16.5" customHeight="1" s="534">
      <c r="B38" s="328" t="inlineStr">
        <is>
          <t>Equity NPV ($)</t>
        </is>
      </c>
      <c r="C38" s="584">
        <f>NPV(Inputs!$D$102,Cashflows!D35:AG35)+Cashflows!C35</f>
        <v/>
      </c>
      <c r="D38" s="143" t="n"/>
      <c r="E38" s="143" t="n"/>
      <c r="F38" s="143" t="n"/>
      <c r="G38" s="143" t="n"/>
      <c r="H38" s="143" t="n"/>
      <c r="I38" s="143" t="n"/>
      <c r="J38" s="143" t="n"/>
      <c r="K38" s="143" t="n"/>
      <c r="L38" s="143" t="n"/>
      <c r="M38" s="143" t="n"/>
      <c r="N38" s="143" t="n"/>
      <c r="O38" s="143" t="n"/>
      <c r="P38" s="143" t="n"/>
      <c r="Q38" s="143" t="n"/>
      <c r="R38" s="143" t="n"/>
      <c r="S38" s="143" t="n"/>
      <c r="T38" s="143" t="n"/>
      <c r="U38" s="143" t="n"/>
      <c r="V38" s="143" t="n"/>
      <c r="W38" s="143" t="n"/>
      <c r="X38" s="143" t="n"/>
      <c r="Y38" s="143" t="n"/>
      <c r="Z38" s="143" t="n"/>
      <c r="AA38" s="143" t="n"/>
      <c r="AB38" s="143" t="n"/>
      <c r="AC38" s="143" t="n"/>
      <c r="AD38" s="143" t="n"/>
      <c r="AE38" s="143" t="n"/>
      <c r="AF38" s="143" t="n"/>
      <c r="AG38" s="143" t="n"/>
    </row>
    <row r="39" ht="16.5" customHeight="1" s="534">
      <c r="B39" s="142" t="n"/>
      <c r="C39" s="143" t="n"/>
      <c r="D39" s="143" t="n"/>
      <c r="E39" s="143" t="n"/>
      <c r="F39" s="143" t="n"/>
      <c r="G39" s="143" t="n"/>
      <c r="H39" s="143" t="n"/>
      <c r="I39" s="143" t="n"/>
      <c r="J39" s="143" t="n"/>
      <c r="K39" s="143" t="n"/>
      <c r="L39" s="143" t="n"/>
      <c r="M39" s="143" t="n"/>
      <c r="N39" s="143" t="n"/>
      <c r="O39" s="143" t="n"/>
      <c r="P39" s="143" t="n"/>
      <c r="Q39" s="143" t="n"/>
      <c r="R39" s="143" t="n"/>
      <c r="S39" s="143" t="n"/>
      <c r="T39" s="143" t="n"/>
      <c r="U39" s="143" t="n"/>
      <c r="V39" s="143" t="n"/>
      <c r="W39" s="143" t="n"/>
      <c r="X39" s="143" t="n"/>
      <c r="Y39" s="143" t="n"/>
      <c r="Z39" s="143" t="n"/>
      <c r="AA39" s="143" t="n"/>
      <c r="AB39" s="143" t="n"/>
      <c r="AC39" s="143" t="n"/>
      <c r="AD39" s="143" t="n"/>
      <c r="AE39" s="143" t="n"/>
      <c r="AF39" s="143" t="n"/>
      <c r="AG39" s="143" t="n"/>
    </row>
    <row r="40" ht="16.5" customHeight="1" s="534">
      <c r="B40" s="142" t="n"/>
      <c r="C40" s="143" t="n"/>
      <c r="D40" s="143" t="n"/>
      <c r="E40" s="143" t="n"/>
      <c r="F40" s="143" t="n"/>
      <c r="G40" s="143" t="n"/>
      <c r="H40" s="143" t="n"/>
      <c r="I40" s="143" t="n"/>
      <c r="J40" s="143" t="n"/>
      <c r="K40" s="143" t="n"/>
      <c r="L40" s="143" t="n"/>
      <c r="M40" s="143" t="n"/>
      <c r="N40" s="143" t="n"/>
      <c r="O40" s="143" t="n"/>
      <c r="P40" s="143" t="n"/>
      <c r="Q40" s="143" t="n"/>
      <c r="R40" s="143" t="n"/>
      <c r="S40" s="143" t="n"/>
      <c r="T40" s="143" t="n"/>
      <c r="U40" s="143" t="n"/>
      <c r="V40" s="143" t="n"/>
      <c r="W40" s="143" t="n"/>
      <c r="X40" s="143" t="n"/>
      <c r="Y40" s="143" t="n"/>
      <c r="Z40" s="143" t="n"/>
      <c r="AA40" s="143" t="n"/>
      <c r="AB40" s="143" t="n"/>
      <c r="AC40" s="143" t="n"/>
      <c r="AD40" s="143" t="n"/>
      <c r="AE40" s="143" t="n"/>
      <c r="AF40" s="143" t="n"/>
      <c r="AG40" s="143" t="n"/>
    </row>
    <row r="41" ht="16.5" customHeight="1" s="534">
      <c r="A41" s="364" t="inlineStr">
        <is>
          <t>Block 3 — Equity Multiple and Payback</t>
        </is>
      </c>
      <c r="B41" s="530" t="n"/>
      <c r="C41" s="530" t="n"/>
      <c r="D41" s="143" t="n"/>
      <c r="E41" s="143" t="n"/>
      <c r="F41" s="143" t="n"/>
      <c r="G41" s="143" t="n"/>
      <c r="H41" s="143" t="n"/>
      <c r="I41" s="143" t="n"/>
      <c r="J41" s="143" t="n"/>
      <c r="K41" s="143" t="n"/>
      <c r="L41" s="143" t="n"/>
      <c r="M41" s="143" t="n"/>
      <c r="N41" s="143" t="n"/>
      <c r="O41" s="143" t="n"/>
      <c r="P41" s="143" t="n"/>
      <c r="Q41" s="143" t="n"/>
      <c r="R41" s="143" t="n"/>
      <c r="S41" s="143" t="n"/>
      <c r="T41" s="143" t="n"/>
      <c r="U41" s="143" t="n"/>
      <c r="V41" s="143" t="n"/>
      <c r="W41" s="143" t="n"/>
      <c r="X41" s="143" t="n"/>
      <c r="Y41" s="143" t="n"/>
      <c r="Z41" s="143" t="n"/>
      <c r="AA41" s="143" t="n"/>
      <c r="AB41" s="143" t="n"/>
      <c r="AC41" s="143" t="n"/>
      <c r="AD41" s="143" t="n"/>
      <c r="AE41" s="143" t="n"/>
      <c r="AF41" s="143" t="n"/>
      <c r="AG41" s="143" t="n"/>
    </row>
    <row r="42" ht="18" customHeight="1" s="534">
      <c r="B42" s="321" t="inlineStr">
        <is>
          <t>Equity Multiple</t>
        </is>
      </c>
      <c r="C42" s="362">
        <f>(SUM(D35:AG35)/ABS(C35))</f>
        <v/>
      </c>
      <c r="D42" s="156" t="n"/>
      <c r="E42" s="156" t="n"/>
      <c r="F42" s="156" t="n"/>
      <c r="G42" s="156" t="n"/>
      <c r="H42" s="156" t="n"/>
      <c r="I42" s="156" t="n"/>
      <c r="J42" s="156" t="n"/>
      <c r="K42" s="156" t="n"/>
      <c r="L42" s="156" t="n"/>
      <c r="M42" s="156" t="n"/>
      <c r="N42" s="156" t="n"/>
      <c r="O42" s="156" t="n"/>
      <c r="P42" s="156" t="n"/>
      <c r="Q42" s="156" t="n"/>
      <c r="R42" s="156" t="n"/>
      <c r="S42" s="156" t="n"/>
      <c r="T42" s="156" t="n"/>
      <c r="U42" s="156" t="n"/>
      <c r="V42" s="156" t="n"/>
      <c r="W42" s="156" t="n"/>
      <c r="X42" s="156" t="n"/>
      <c r="Y42" s="156" t="n"/>
      <c r="Z42" s="156" t="n"/>
      <c r="AA42" s="156" t="n"/>
      <c r="AB42" s="156" t="n"/>
      <c r="AC42" s="156" t="n"/>
      <c r="AD42" s="156" t="n"/>
      <c r="AE42" s="156" t="n"/>
      <c r="AF42" s="156" t="n"/>
      <c r="AG42" s="156" t="n"/>
    </row>
    <row r="43" ht="18" customHeight="1" s="534">
      <c r="B43" s="322" t="inlineStr">
        <is>
          <t>Payback Period</t>
        </is>
      </c>
      <c r="C43" s="363">
        <f t="array" ref="C43">MATCH(TRUE(), C36:AG36 &gt;= 0,0)-1</f>
        <v/>
      </c>
      <c r="D43" s="156" t="n"/>
      <c r="E43" s="156" t="n"/>
      <c r="F43" s="156" t="n"/>
      <c r="G43" s="156" t="n"/>
      <c r="H43" s="156" t="n"/>
      <c r="I43" s="156" t="n"/>
      <c r="J43" s="156" t="n"/>
      <c r="K43" s="156" t="n"/>
      <c r="L43" s="156" t="n"/>
      <c r="M43" s="156" t="n"/>
      <c r="N43" s="156" t="n"/>
      <c r="O43" s="156" t="n"/>
      <c r="P43" s="156" t="n"/>
      <c r="Q43" s="156" t="n"/>
      <c r="R43" s="156" t="n"/>
      <c r="S43" s="156" t="n"/>
      <c r="T43" s="156" t="n"/>
      <c r="U43" s="156" t="n"/>
      <c r="V43" s="156" t="n"/>
      <c r="W43" s="156" t="n"/>
      <c r="X43" s="156" t="n"/>
      <c r="Y43" s="156" t="n"/>
      <c r="Z43" s="156" t="n"/>
      <c r="AA43" s="156" t="n"/>
      <c r="AB43" s="156" t="n"/>
      <c r="AC43" s="156" t="n"/>
      <c r="AD43" s="156" t="n"/>
      <c r="AE43" s="156" t="n"/>
      <c r="AF43" s="156" t="n"/>
      <c r="AG43" s="156" t="n"/>
    </row>
    <row r="44" ht="16.5" customHeight="1" s="534">
      <c r="B44" s="143" t="n"/>
      <c r="C44" s="143" t="n"/>
      <c r="D44" s="143" t="n"/>
      <c r="E44" s="143" t="n"/>
      <c r="F44" s="143" t="n"/>
      <c r="G44" s="143" t="n"/>
      <c r="H44" s="143" t="n"/>
      <c r="I44" s="143" t="n"/>
      <c r="J44" s="143" t="n"/>
      <c r="K44" s="143" t="n"/>
      <c r="L44" s="143" t="n"/>
      <c r="M44" s="143" t="n"/>
      <c r="N44" s="143" t="n"/>
      <c r="O44" s="143" t="n"/>
      <c r="P44" s="143" t="n"/>
      <c r="Q44" s="143" t="n"/>
      <c r="R44" s="143" t="n"/>
      <c r="S44" s="143" t="n"/>
      <c r="T44" s="143" t="n"/>
      <c r="U44" s="143" t="n"/>
      <c r="V44" s="143" t="n"/>
      <c r="W44" s="143" t="n"/>
      <c r="X44" s="143" t="n"/>
      <c r="Y44" s="143" t="n"/>
      <c r="Z44" s="143" t="n"/>
      <c r="AA44" s="143" t="n"/>
      <c r="AB44" s="143" t="n"/>
      <c r="AC44" s="143" t="n"/>
      <c r="AD44" s="143" t="n"/>
      <c r="AE44" s="143" t="n"/>
      <c r="AF44" s="143" t="n"/>
      <c r="AG44" s="143" t="n"/>
    </row>
    <row r="45" ht="16.5" customHeight="1" s="534">
      <c r="B45" s="166" t="n"/>
      <c r="C45" s="167" t="n"/>
      <c r="D45" s="167" t="n"/>
      <c r="E45" s="167" t="n"/>
      <c r="F45" s="167" t="n"/>
      <c r="G45" s="167" t="n"/>
      <c r="H45" s="167" t="n"/>
      <c r="I45" s="167" t="n"/>
      <c r="J45" s="167" t="n"/>
      <c r="K45" s="167" t="n"/>
      <c r="L45" s="167" t="n"/>
      <c r="M45" s="167" t="n"/>
      <c r="N45" s="167" t="n"/>
      <c r="O45" s="167" t="n"/>
      <c r="P45" s="167" t="n"/>
      <c r="Q45" s="167" t="n"/>
      <c r="R45" s="167" t="n"/>
      <c r="S45" s="167" t="n"/>
      <c r="T45" s="167" t="n"/>
      <c r="U45" s="167" t="n"/>
      <c r="V45" s="167" t="n"/>
      <c r="W45" s="167" t="n"/>
      <c r="X45" s="167" t="n"/>
      <c r="Y45" s="167" t="n"/>
      <c r="Z45" s="167" t="n"/>
      <c r="AA45" s="167" t="n"/>
      <c r="AB45" s="167" t="n"/>
      <c r="AC45" s="167" t="n"/>
      <c r="AD45" s="167" t="n"/>
      <c r="AE45" s="167" t="n"/>
      <c r="AF45" s="167" t="n"/>
      <c r="AG45" s="167" t="n"/>
    </row>
    <row r="46" ht="16.5" customHeight="1" s="534">
      <c r="A46" s="364" t="inlineStr">
        <is>
          <t>Block 4 — Returns Summary</t>
        </is>
      </c>
      <c r="B46" s="364" t="n"/>
      <c r="C46" s="364" t="n"/>
      <c r="D46" s="165" t="n"/>
      <c r="E46" s="165" t="n"/>
      <c r="F46" s="165" t="n"/>
      <c r="G46" s="165" t="n"/>
      <c r="H46" s="165" t="n"/>
      <c r="I46" s="165" t="n"/>
      <c r="J46" s="165" t="n"/>
      <c r="K46" s="165" t="n"/>
      <c r="L46" s="165" t="n"/>
      <c r="M46" s="165" t="n"/>
      <c r="N46" s="165" t="n"/>
      <c r="O46" s="165" t="n"/>
      <c r="P46" s="165" t="n"/>
      <c r="Q46" s="165" t="n"/>
      <c r="R46" s="165" t="n"/>
      <c r="S46" s="165" t="n"/>
      <c r="T46" s="165" t="n"/>
      <c r="U46" s="165" t="n"/>
      <c r="V46" s="165" t="n"/>
      <c r="W46" s="165" t="n"/>
      <c r="X46" s="165" t="n"/>
      <c r="Y46" s="165" t="n"/>
      <c r="Z46" s="165" t="n"/>
      <c r="AA46" s="165" t="n"/>
      <c r="AB46" s="165" t="n"/>
      <c r="AC46" s="165" t="n"/>
      <c r="AD46" s="165" t="n"/>
      <c r="AE46" s="165" t="n"/>
      <c r="AF46" s="165" t="n"/>
      <c r="AG46" s="165" t="n"/>
    </row>
    <row r="47" ht="19.5" customHeight="1" s="534">
      <c r="B47" s="365" t="inlineStr">
        <is>
          <t>Project IRR (%)</t>
        </is>
      </c>
      <c r="C47" s="366">
        <f>C16</f>
        <v/>
      </c>
      <c r="D47" s="202" t="n"/>
      <c r="E47" s="202" t="n"/>
      <c r="F47" s="202" t="n"/>
      <c r="G47" s="202" t="n"/>
      <c r="H47" s="202" t="n"/>
      <c r="I47" s="202" t="n"/>
      <c r="J47" s="202" t="n"/>
      <c r="K47" s="202" t="n"/>
      <c r="L47" s="202" t="n"/>
      <c r="M47" s="202" t="n"/>
      <c r="N47" s="202" t="n"/>
      <c r="O47" s="202" t="n"/>
      <c r="P47" s="202" t="n"/>
      <c r="Q47" s="202" t="n"/>
      <c r="R47" s="202" t="n"/>
      <c r="S47" s="202" t="n"/>
      <c r="T47" s="202" t="n"/>
      <c r="U47" s="202" t="n"/>
      <c r="V47" s="202" t="n"/>
      <c r="W47" s="202" t="n"/>
      <c r="X47" s="202" t="n"/>
      <c r="Y47" s="202" t="n"/>
      <c r="Z47" s="202" t="n"/>
      <c r="AA47" s="202" t="n"/>
      <c r="AB47" s="202" t="n"/>
      <c r="AC47" s="202" t="n"/>
      <c r="AD47" s="202" t="n"/>
      <c r="AE47" s="202" t="n"/>
      <c r="AF47" s="202" t="n"/>
      <c r="AG47" s="202" t="n"/>
    </row>
    <row r="48" ht="19.5" customHeight="1" s="534">
      <c r="B48" s="203" t="inlineStr">
        <is>
          <t>Equity IRR (%)</t>
        </is>
      </c>
      <c r="C48" s="204">
        <f>C37</f>
        <v/>
      </c>
      <c r="D48" s="202" t="n"/>
      <c r="E48" s="202" t="n"/>
      <c r="F48" s="202" t="n"/>
      <c r="G48" s="202" t="n"/>
      <c r="H48" s="202" t="n"/>
      <c r="I48" s="202" t="n"/>
      <c r="J48" s="202" t="n"/>
      <c r="K48" s="202" t="n"/>
      <c r="L48" s="202" t="n"/>
      <c r="M48" s="202" t="n"/>
      <c r="N48" s="202" t="n"/>
      <c r="O48" s="202" t="n"/>
      <c r="P48" s="202" t="n"/>
      <c r="Q48" s="202" t="n"/>
      <c r="R48" s="202" t="n"/>
      <c r="S48" s="202" t="n"/>
      <c r="T48" s="202" t="n"/>
      <c r="U48" s="202" t="n"/>
      <c r="V48" s="202" t="n"/>
      <c r="W48" s="202" t="n"/>
      <c r="X48" s="202" t="n"/>
      <c r="Y48" s="202" t="n"/>
      <c r="Z48" s="202" t="n"/>
      <c r="AA48" s="202" t="n"/>
      <c r="AB48" s="202" t="n"/>
      <c r="AC48" s="202" t="n"/>
      <c r="AD48" s="202" t="n"/>
      <c r="AE48" s="202" t="n"/>
      <c r="AF48" s="202" t="n"/>
      <c r="AG48" s="202" t="n"/>
    </row>
    <row r="49" ht="16.5" customHeight="1" s="534">
      <c r="B49" s="251" t="inlineStr">
        <is>
          <t>Project NPV ($)</t>
        </is>
      </c>
      <c r="C49" s="585">
        <f>C17</f>
        <v/>
      </c>
      <c r="D49" s="143" t="n"/>
      <c r="E49" s="143" t="n"/>
      <c r="F49" s="143" t="n"/>
      <c r="G49" s="143" t="n"/>
      <c r="H49" s="143" t="n"/>
      <c r="I49" s="143" t="n"/>
      <c r="J49" s="143" t="n"/>
      <c r="K49" s="143" t="n"/>
      <c r="L49" s="143" t="n"/>
      <c r="M49" s="143" t="n"/>
      <c r="N49" s="143" t="n"/>
      <c r="O49" s="143" t="n"/>
      <c r="P49" s="143" t="n"/>
      <c r="Q49" s="143" t="n"/>
      <c r="R49" s="143" t="n"/>
      <c r="S49" s="143" t="n"/>
      <c r="T49" s="143" t="n"/>
      <c r="U49" s="143" t="n"/>
      <c r="V49" s="143" t="n"/>
      <c r="W49" s="143" t="n"/>
      <c r="X49" s="143" t="n"/>
      <c r="Y49" s="143" t="n"/>
      <c r="Z49" s="143" t="n"/>
      <c r="AA49" s="143" t="n"/>
      <c r="AB49" s="143" t="n"/>
      <c r="AC49" s="143" t="n"/>
      <c r="AD49" s="143" t="n"/>
      <c r="AE49" s="143" t="n"/>
      <c r="AF49" s="143" t="n"/>
      <c r="AG49" s="143" t="n"/>
    </row>
    <row r="50" ht="16.5" customHeight="1" s="534">
      <c r="B50" s="278" t="inlineStr">
        <is>
          <t>Equity NPV at 12% ($)</t>
        </is>
      </c>
      <c r="C50" s="586">
        <f>C38</f>
        <v/>
      </c>
      <c r="D50" s="143" t="n"/>
      <c r="E50" s="143" t="n"/>
      <c r="F50" s="143" t="n"/>
      <c r="G50" s="143" t="n"/>
      <c r="H50" s="143" t="n"/>
      <c r="I50" s="143" t="n"/>
      <c r="J50" s="143" t="n"/>
      <c r="K50" s="143" t="n"/>
      <c r="L50" s="143" t="n"/>
      <c r="M50" s="143" t="n"/>
      <c r="N50" s="143" t="n"/>
      <c r="O50" s="143" t="n"/>
      <c r="P50" s="143" t="n"/>
      <c r="Q50" s="143" t="n"/>
      <c r="R50" s="143" t="n"/>
      <c r="S50" s="143" t="n"/>
      <c r="T50" s="143" t="n"/>
      <c r="U50" s="143" t="n"/>
      <c r="V50" s="143" t="n"/>
      <c r="W50" s="143" t="n"/>
      <c r="X50" s="143" t="n"/>
      <c r="Y50" s="143" t="n"/>
      <c r="Z50" s="143" t="n"/>
      <c r="AA50" s="143" t="n"/>
      <c r="AB50" s="143" t="n"/>
      <c r="AC50" s="143" t="n"/>
      <c r="AD50" s="143" t="n"/>
      <c r="AE50" s="143" t="n"/>
      <c r="AF50" s="143" t="n"/>
      <c r="AG50" s="143" t="n"/>
    </row>
    <row r="51" ht="18" customHeight="1" s="534">
      <c r="B51" s="368" t="inlineStr">
        <is>
          <t>Equity Multiple (x)</t>
        </is>
      </c>
      <c r="C51" s="378">
        <f>C42</f>
        <v/>
      </c>
      <c r="D51" s="156" t="n"/>
      <c r="E51" s="156" t="n"/>
      <c r="F51" s="156" t="n"/>
      <c r="G51" s="156" t="n"/>
      <c r="H51" s="156" t="n"/>
      <c r="I51" s="156" t="n"/>
      <c r="J51" s="156" t="n"/>
      <c r="K51" s="156" t="n"/>
      <c r="L51" s="156" t="n"/>
      <c r="M51" s="156" t="n"/>
      <c r="N51" s="156" t="n"/>
      <c r="O51" s="156" t="n"/>
      <c r="P51" s="156" t="n"/>
      <c r="Q51" s="156" t="n"/>
      <c r="R51" s="156" t="n"/>
      <c r="S51" s="156" t="n"/>
      <c r="T51" s="156" t="n"/>
      <c r="U51" s="156" t="n"/>
      <c r="V51" s="156" t="n"/>
      <c r="W51" s="156" t="n"/>
      <c r="X51" s="156" t="n"/>
      <c r="Y51" s="156" t="n"/>
      <c r="Z51" s="156" t="n"/>
      <c r="AA51" s="156" t="n"/>
      <c r="AB51" s="156" t="n"/>
      <c r="AC51" s="156" t="n"/>
      <c r="AD51" s="156" t="n"/>
      <c r="AE51" s="156" t="n"/>
      <c r="AF51" s="156" t="n"/>
      <c r="AG51" s="156" t="n"/>
    </row>
    <row r="52" ht="18" customHeight="1" s="534">
      <c r="B52" s="351" t="inlineStr">
        <is>
          <t>Payback Period (years)</t>
        </is>
      </c>
      <c r="C52" s="377">
        <f>C43</f>
        <v/>
      </c>
      <c r="D52" s="156" t="n"/>
      <c r="E52" s="156" t="n"/>
      <c r="F52" s="156" t="n"/>
      <c r="G52" s="156" t="n"/>
      <c r="H52" s="156" t="n"/>
      <c r="I52" s="156" t="n"/>
      <c r="J52" s="156" t="n"/>
      <c r="K52" s="156" t="n"/>
      <c r="L52" s="156" t="n"/>
      <c r="M52" s="156" t="n"/>
      <c r="N52" s="156" t="n"/>
      <c r="O52" s="156" t="n"/>
      <c r="P52" s="156" t="n"/>
      <c r="Q52" s="156" t="n"/>
      <c r="R52" s="156" t="n"/>
      <c r="S52" s="156" t="n"/>
      <c r="T52" s="156" t="n"/>
      <c r="U52" s="156" t="n"/>
      <c r="V52" s="156" t="n"/>
      <c r="W52" s="156" t="n"/>
      <c r="X52" s="156" t="n"/>
      <c r="Y52" s="156" t="n"/>
      <c r="Z52" s="156" t="n"/>
      <c r="AA52" s="156" t="n"/>
      <c r="AB52" s="156" t="n"/>
      <c r="AC52" s="156" t="n"/>
      <c r="AD52" s="156" t="n"/>
      <c r="AE52" s="156" t="n"/>
      <c r="AF52" s="156" t="n"/>
      <c r="AG52" s="156" t="n"/>
    </row>
    <row r="53" ht="16.5" customHeight="1" s="534">
      <c r="B53" s="251" t="inlineStr">
        <is>
          <t>Total Revenue (30 years) ($)</t>
        </is>
      </c>
      <c r="C53" s="585">
        <f>SUM(C23:AG23)</f>
        <v/>
      </c>
      <c r="D53" s="143" t="n"/>
      <c r="E53" s="143" t="n"/>
      <c r="F53" s="143" t="n"/>
      <c r="G53" s="143" t="n"/>
      <c r="H53" s="143" t="n"/>
      <c r="I53" s="143" t="n"/>
      <c r="J53" s="143" t="n"/>
      <c r="K53" s="143" t="n"/>
      <c r="L53" s="143" t="n"/>
      <c r="M53" s="143" t="n"/>
      <c r="N53" s="143" t="n"/>
      <c r="O53" s="143" t="n"/>
      <c r="P53" s="143" t="n"/>
      <c r="Q53" s="143" t="n"/>
      <c r="R53" s="143" t="n"/>
      <c r="S53" s="143" t="n"/>
      <c r="T53" s="143" t="n"/>
      <c r="U53" s="143" t="n"/>
      <c r="V53" s="143" t="n"/>
      <c r="W53" s="143" t="n"/>
      <c r="X53" s="143" t="n"/>
      <c r="Y53" s="143" t="n"/>
      <c r="Z53" s="143" t="n"/>
      <c r="AA53" s="143" t="n"/>
      <c r="AB53" s="143" t="n"/>
      <c r="AC53" s="143" t="n"/>
      <c r="AD53" s="143" t="n"/>
      <c r="AE53" s="143" t="n"/>
      <c r="AF53" s="143" t="n"/>
      <c r="AG53" s="143" t="n"/>
    </row>
    <row r="54" ht="16.5" customHeight="1" s="534">
      <c r="B54" s="278" t="inlineStr">
        <is>
          <t>Total Opex (30 years) ($)</t>
        </is>
      </c>
      <c r="C54" s="586">
        <f>SUM(C24:AG24)</f>
        <v/>
      </c>
      <c r="D54" s="143" t="n"/>
      <c r="E54" s="143" t="n"/>
      <c r="F54" s="143" t="n"/>
      <c r="G54" s="143" t="n"/>
      <c r="H54" s="143" t="n"/>
      <c r="I54" s="143" t="n"/>
      <c r="J54" s="143" t="n"/>
      <c r="K54" s="143" t="n"/>
      <c r="L54" s="143" t="n"/>
      <c r="M54" s="143" t="n"/>
      <c r="N54" s="143" t="n"/>
      <c r="O54" s="143" t="n"/>
      <c r="P54" s="143" t="n"/>
      <c r="Q54" s="143" t="n"/>
      <c r="R54" s="143" t="n"/>
      <c r="S54" s="143" t="n"/>
      <c r="T54" s="143" t="n"/>
      <c r="U54" s="143" t="n"/>
      <c r="V54" s="143" t="n"/>
      <c r="W54" s="143" t="n"/>
      <c r="X54" s="143" t="n"/>
      <c r="Y54" s="143" t="n"/>
      <c r="Z54" s="143" t="n"/>
      <c r="AA54" s="143" t="n"/>
      <c r="AB54" s="143" t="n"/>
      <c r="AC54" s="143" t="n"/>
      <c r="AD54" s="143" t="n"/>
      <c r="AE54" s="143" t="n"/>
      <c r="AF54" s="143" t="n"/>
      <c r="AG54" s="143" t="n"/>
    </row>
    <row r="55" ht="16.5" customHeight="1" s="534">
      <c r="B55" s="251" t="inlineStr">
        <is>
          <t>Total Levered Taxes Paid ($)</t>
        </is>
      </c>
      <c r="C55" s="585">
        <f>SUM(C29:AG29)</f>
        <v/>
      </c>
      <c r="D55" s="143" t="n"/>
      <c r="E55" s="143" t="n"/>
      <c r="F55" s="143" t="n"/>
      <c r="G55" s="143" t="n"/>
      <c r="H55" s="143" t="n"/>
      <c r="I55" s="143" t="n"/>
      <c r="J55" s="143" t="n"/>
      <c r="K55" s="143" t="n"/>
      <c r="L55" s="143" t="n"/>
      <c r="M55" s="143" t="n"/>
      <c r="N55" s="143" t="n"/>
      <c r="O55" s="143" t="n"/>
      <c r="P55" s="143" t="n"/>
      <c r="Q55" s="143" t="n"/>
      <c r="R55" s="143" t="n"/>
      <c r="S55" s="143" t="n"/>
      <c r="T55" s="143" t="n"/>
      <c r="U55" s="143" t="n"/>
      <c r="V55" s="143" t="n"/>
      <c r="W55" s="143" t="n"/>
      <c r="X55" s="143" t="n"/>
      <c r="Y55" s="143" t="n"/>
      <c r="Z55" s="143" t="n"/>
      <c r="AA55" s="143" t="n"/>
      <c r="AB55" s="143" t="n"/>
      <c r="AC55" s="143" t="n"/>
      <c r="AD55" s="143" t="n"/>
      <c r="AE55" s="143" t="n"/>
      <c r="AF55" s="143" t="n"/>
      <c r="AG55" s="143" t="n"/>
    </row>
    <row r="56" ht="16.5" customHeight="1" s="534">
      <c r="B56" s="278" t="inlineStr">
        <is>
          <t>Total Interest Tax Shield</t>
        </is>
      </c>
      <c r="C56" s="586">
        <f>SUM(C30:AG30)</f>
        <v/>
      </c>
      <c r="D56" s="143" t="n"/>
      <c r="E56" s="143" t="n"/>
      <c r="F56" s="143" t="n"/>
      <c r="G56" s="143" t="n"/>
      <c r="H56" s="143" t="n"/>
      <c r="I56" s="143" t="n"/>
      <c r="J56" s="143" t="n"/>
      <c r="K56" s="143" t="n"/>
      <c r="L56" s="143" t="n"/>
      <c r="M56" s="143" t="n"/>
      <c r="N56" s="143" t="n"/>
      <c r="O56" s="143" t="n"/>
      <c r="P56" s="143" t="n"/>
      <c r="Q56" s="143" t="n"/>
      <c r="R56" s="143" t="n"/>
      <c r="S56" s="143" t="n"/>
      <c r="T56" s="143" t="n"/>
      <c r="U56" s="143" t="n"/>
      <c r="V56" s="143" t="n"/>
      <c r="W56" s="143" t="n"/>
      <c r="X56" s="143" t="n"/>
      <c r="Y56" s="143" t="n"/>
      <c r="Z56" s="143" t="n"/>
      <c r="AA56" s="143" t="n"/>
      <c r="AB56" s="143" t="n"/>
      <c r="AC56" s="143" t="n"/>
      <c r="AD56" s="143" t="n"/>
      <c r="AE56" s="143" t="n"/>
      <c r="AF56" s="143" t="n"/>
      <c r="AG56" s="143" t="n"/>
    </row>
    <row r="57" ht="16.5" customHeight="1" s="534">
      <c r="B57" s="251" t="inlineStr">
        <is>
          <t>Total Debt Service ($)</t>
        </is>
      </c>
      <c r="C57" s="585">
        <f>SUM(C33:AG33)</f>
        <v/>
      </c>
      <c r="D57" s="143" t="n"/>
      <c r="E57" s="143" t="n"/>
      <c r="F57" s="143" t="n"/>
      <c r="G57" s="143" t="n"/>
      <c r="H57" s="143" t="n"/>
      <c r="I57" s="143" t="n"/>
      <c r="J57" s="143" t="n"/>
      <c r="K57" s="143" t="n"/>
      <c r="L57" s="143" t="n"/>
      <c r="M57" s="143" t="n"/>
      <c r="N57" s="143" t="n"/>
      <c r="O57" s="143" t="n"/>
      <c r="P57" s="143" t="n"/>
      <c r="Q57" s="143" t="n"/>
      <c r="R57" s="143" t="n"/>
      <c r="S57" s="143" t="n"/>
      <c r="T57" s="143" t="n"/>
      <c r="U57" s="143" t="n"/>
      <c r="V57" s="143" t="n"/>
      <c r="W57" s="143" t="n"/>
      <c r="X57" s="143" t="n"/>
      <c r="Y57" s="143" t="n"/>
      <c r="Z57" s="143" t="n"/>
      <c r="AA57" s="143" t="n"/>
      <c r="AB57" s="143" t="n"/>
      <c r="AC57" s="143" t="n"/>
      <c r="AD57" s="143" t="n"/>
      <c r="AE57" s="143" t="n"/>
      <c r="AF57" s="143" t="n"/>
      <c r="AG57" s="143" t="n"/>
    </row>
  </sheetData>
  <mergeCells count="1">
    <mergeCell ref="A1:AG1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9.xml><?xml version="1.0" encoding="utf-8"?>
<worksheet xmlns="http://schemas.openxmlformats.org/spreadsheetml/2006/main">
  <sheetPr>
    <tabColor rgb="FF2E75B6"/>
    <outlinePr summaryBelow="1" summaryRight="1"/>
    <pageSetUpPr/>
  </sheetPr>
  <dimension ref="A1:E35"/>
  <sheetViews>
    <sheetView showGridLines="0" zoomScaleNormal="100" workbookViewId="0">
      <selection activeCell="C4" sqref="C4"/>
    </sheetView>
  </sheetViews>
  <sheetFormatPr baseColWidth="8" defaultColWidth="8.7265625" defaultRowHeight="14.5"/>
  <cols>
    <col width="1.7265625" customWidth="1" style="534" min="1" max="1"/>
    <col width="46" customWidth="1" style="534" min="2" max="2"/>
    <col width="18" customWidth="1" style="534" min="3" max="3"/>
    <col width="28" customWidth="1" style="534" min="4" max="4"/>
    <col width="34.7265625" customWidth="1" style="534" min="5" max="5"/>
  </cols>
  <sheetData>
    <row r="1" ht="27.75" customHeight="1" s="534" thickBot="1">
      <c r="A1" s="512" t="inlineStr">
        <is>
          <t>LCOE  —  Solar: $90.88/MWh  ·  System: $69.84/MWh (Lazard ✓)  ·  Min Viable PPA: $49.02/MWh (LBNL ✓)</t>
        </is>
      </c>
      <c r="B1" s="535" t="n"/>
      <c r="C1" s="535" t="n"/>
      <c r="D1" s="535" t="n"/>
      <c r="E1" s="535" t="n"/>
    </row>
    <row r="2" ht="18" customHeight="1" s="534">
      <c r="A2" s="530" t="inlineStr">
        <is>
          <t>Block 1 — Solar LCOE</t>
        </is>
      </c>
      <c r="B2" s="530" t="n"/>
      <c r="C2" s="530" t="n"/>
      <c r="D2" s="525" t="n"/>
      <c r="E2" s="525" t="n"/>
    </row>
    <row r="3" ht="18" customHeight="1" s="534">
      <c r="A3" s="207" t="n"/>
      <c r="B3" s="384" t="inlineStr">
        <is>
          <t>NPV Costs</t>
        </is>
      </c>
      <c r="C3" s="211">
        <f>Costs!C13+NPV(Inputs!$D$70,Costs!$C$25:$AF$25)</f>
        <v/>
      </c>
      <c r="D3" s="525" t="n"/>
      <c r="E3" s="525" t="n"/>
    </row>
    <row r="4" ht="18" customHeight="1" s="534">
      <c r="A4" s="207" t="n"/>
      <c r="B4" s="319" t="inlineStr">
        <is>
          <t>NPV Energy</t>
        </is>
      </c>
      <c r="C4" s="212">
        <f>NPV(Inputs!$D$70,Energy!$B$9:$AE$9)</f>
        <v/>
      </c>
      <c r="D4" s="525" t="n"/>
      <c r="E4" s="525" t="n"/>
    </row>
    <row r="5" ht="18" customHeight="1" s="534">
      <c r="A5" s="207" t="n"/>
      <c r="B5" s="321" t="inlineStr">
        <is>
          <t>Solar LCOE</t>
        </is>
      </c>
      <c r="C5" s="385">
        <f>C3/C4</f>
        <v/>
      </c>
      <c r="D5" s="525" t="n"/>
      <c r="E5" s="525" t="n"/>
    </row>
    <row r="6" ht="18" customHeight="1" s="534">
      <c r="A6" s="207" t="n"/>
      <c r="B6" s="142" t="n"/>
      <c r="C6" s="208" t="n"/>
      <c r="D6" s="525" t="n"/>
      <c r="E6" s="525" t="n"/>
    </row>
    <row r="7" ht="18" customHeight="1" s="534">
      <c r="A7" s="207" t="n"/>
      <c r="B7" s="142" t="n"/>
      <c r="C7" s="208" t="n"/>
      <c r="D7" s="525" t="n"/>
      <c r="E7" s="525" t="n"/>
    </row>
    <row r="8" ht="18" customHeight="1" s="534">
      <c r="A8" s="530" t="inlineStr">
        <is>
          <t>Block 2 — System LCOE (Solar + Storage)</t>
        </is>
      </c>
      <c r="B8" s="530" t="n"/>
      <c r="C8" s="530" t="n"/>
      <c r="D8" s="525" t="n"/>
      <c r="E8" s="525" t="n"/>
    </row>
    <row r="9" ht="18" customHeight="1" s="534">
      <c r="A9" s="207" t="n"/>
      <c r="B9" s="384" t="inlineStr">
        <is>
          <t>NPV Costs</t>
        </is>
      </c>
      <c r="C9" s="211">
        <f>Costs!C13+NPV(Inputs!$D$70,Costs!$C$25:$AF$25)</f>
        <v/>
      </c>
      <c r="D9" s="525" t="n"/>
      <c r="E9" s="525" t="n"/>
    </row>
    <row r="10" ht="18" customHeight="1" s="534">
      <c r="A10" s="207" t="n"/>
      <c r="B10" s="319" t="inlineStr">
        <is>
          <t>NPV Energy</t>
        </is>
      </c>
      <c r="C10" s="212">
        <f>NPV(Inputs!$D$70,Energy!$B$9:$AE$9)+NPV(Inputs!$D$70,Energy!$B$19:$AE$19)</f>
        <v/>
      </c>
      <c r="D10" s="525" t="n"/>
      <c r="E10" s="525" t="n"/>
    </row>
    <row r="11" ht="18" customHeight="1" s="534">
      <c r="A11" s="207" t="n"/>
      <c r="B11" s="321" t="inlineStr">
        <is>
          <t>Solar + Storage LCOE</t>
        </is>
      </c>
      <c r="C11" s="385">
        <f>C9/C10</f>
        <v/>
      </c>
      <c r="D11" s="525" t="n"/>
      <c r="E11" s="525" t="n"/>
    </row>
    <row r="12" ht="18" customHeight="1" s="534">
      <c r="A12" s="207" t="n"/>
      <c r="B12" s="142" t="n"/>
      <c r="C12" s="208" t="n"/>
      <c r="D12" s="525" t="n"/>
      <c r="E12" s="525" t="n"/>
    </row>
    <row r="13" ht="18" customHeight="1" s="534">
      <c r="A13" s="207" t="n"/>
      <c r="B13" s="142" t="n"/>
      <c r="C13" s="208" t="n"/>
      <c r="D13" s="525" t="n"/>
      <c r="E13" s="525" t="n"/>
    </row>
    <row r="14" ht="18" customHeight="1" s="534">
      <c r="A14" s="530" t="inlineStr">
        <is>
          <t>Block 3 — Minimum Viable PPA Price</t>
        </is>
      </c>
      <c r="B14" s="530" t="n"/>
      <c r="C14" s="530" t="n"/>
      <c r="D14" s="525" t="n"/>
      <c r="E14" s="525" t="n"/>
    </row>
    <row r="15" ht="18" customHeight="1" s="534">
      <c r="A15" s="282" t="inlineStr">
        <is>
          <t>Section A — Current Model Output</t>
        </is>
      </c>
      <c r="B15" s="282" t="n"/>
      <c r="C15" s="282" t="n"/>
      <c r="D15" s="525" t="n"/>
      <c r="E15" s="525" t="n"/>
    </row>
    <row r="16" ht="18" customHeight="1" s="534">
      <c r="A16" s="207" t="n"/>
      <c r="B16" s="387" t="inlineStr">
        <is>
          <t>Current PPA Price — Year 1 ($/MWh)</t>
        </is>
      </c>
      <c r="C16" s="215">
        <f>Inputs!$D$30</f>
        <v/>
      </c>
      <c r="D16" s="525" t="n"/>
      <c r="E16" s="525" t="n"/>
    </row>
    <row r="17" ht="18" customHeight="1" s="534">
      <c r="A17" s="207" t="n"/>
      <c r="B17" s="322" t="inlineStr">
        <is>
          <t>Current Equity IRR (%)</t>
        </is>
      </c>
      <c r="C17" s="389">
        <f>Cashflows!$C$48</f>
        <v/>
      </c>
      <c r="D17" s="525" t="n"/>
      <c r="E17" s="587" t="n"/>
    </row>
    <row r="18" ht="18" customHeight="1" s="534">
      <c r="A18" s="207" t="n"/>
      <c r="B18" s="321" t="inlineStr">
        <is>
          <t>Current Project IRR (%)</t>
        </is>
      </c>
      <c r="C18" s="388">
        <f>Cashflows!$C$47</f>
        <v/>
      </c>
      <c r="D18" s="525" t="n"/>
      <c r="E18" s="525" t="n"/>
    </row>
    <row r="19" ht="18" customHeight="1" s="534">
      <c r="A19" s="207" t="n"/>
      <c r="B19" s="322" t="inlineStr">
        <is>
          <t>Current LCOE — Solar ($/MWh)</t>
        </is>
      </c>
      <c r="C19" s="390">
        <f>C5</f>
        <v/>
      </c>
      <c r="D19" s="525" t="n"/>
      <c r="E19" s="525" t="n"/>
    </row>
    <row r="20" ht="18" customHeight="1" s="534">
      <c r="A20" s="207" t="n"/>
      <c r="B20" s="321" t="inlineStr">
        <is>
          <t>Current LCOE — System ($/MWh)</t>
        </is>
      </c>
      <c r="C20" s="385">
        <f>C11</f>
        <v/>
      </c>
      <c r="D20" s="525" t="n"/>
      <c r="E20" s="525" t="n"/>
    </row>
    <row r="21" ht="18" customHeight="1" s="534">
      <c r="A21" s="207" t="n"/>
      <c r="B21" s="486" t="inlineStr">
        <is>
          <t>Gap to 12% Equity IRR</t>
        </is>
      </c>
      <c r="C21" s="487">
        <f>IF(Inputs!$D$102-LCOE!C17&gt;0,Inputs!$D$102-LCOE!C17,0)</f>
        <v/>
      </c>
      <c r="D21" s="525" t="n"/>
      <c r="E21" s="525" t="n"/>
    </row>
    <row r="22" ht="18" customHeight="1" s="534">
      <c r="A22" s="207" t="n"/>
      <c r="B22" s="166" t="n"/>
      <c r="C22" s="209" t="n"/>
      <c r="D22" s="525" t="n"/>
      <c r="E22" s="525" t="n"/>
    </row>
    <row r="23" ht="18" customHeight="1" s="534">
      <c r="A23" s="282" t="inlineStr">
        <is>
          <t>Section B — Minimum Viable PPA Price</t>
        </is>
      </c>
      <c r="B23" s="282" t="n"/>
      <c r="C23" s="282" t="n"/>
      <c r="D23" s="386" t="inlineStr">
        <is>
          <t>Notes</t>
        </is>
      </c>
      <c r="E23" s="525" t="n"/>
    </row>
    <row r="24" ht="18" customHeight="1" s="534">
      <c r="A24" s="207" t="n"/>
      <c r="B24" s="336" t="inlineStr">
        <is>
          <t>Target Equity IRR (%)</t>
        </is>
      </c>
      <c r="C24" s="391">
        <f>Inputs!$D$102</f>
        <v/>
      </c>
      <c r="D24" s="392" t="n"/>
      <c r="E24" s="525" t="n"/>
    </row>
    <row r="25" ht="18" customHeight="1" s="534">
      <c r="A25" s="207" t="n"/>
      <c r="B25" s="395" t="inlineStr">
        <is>
          <t>Minimum Viable PPA Price ($/MWh)</t>
        </is>
      </c>
      <c r="C25" s="396" t="n">
        <v>49.02399445114678</v>
      </c>
      <c r="D25" s="397" t="inlineStr">
        <is>
          <t>Based on What-If analysis</t>
        </is>
      </c>
      <c r="E25" s="525" t="n"/>
    </row>
    <row r="26" ht="18" customHeight="1" s="534">
      <c r="A26" s="207" t="n"/>
      <c r="B26" s="337" t="inlineStr">
        <is>
          <t>Premium over Current Assumption ($/MWh)</t>
        </is>
      </c>
      <c r="C26" s="393">
        <f>C25-C16</f>
        <v/>
      </c>
      <c r="D26" s="394" t="n"/>
      <c r="E26" s="525" t="n"/>
    </row>
    <row r="27" ht="18" customHeight="1" s="534">
      <c r="A27" s="207" t="n"/>
      <c r="B27" s="398" t="inlineStr">
        <is>
          <t>Premium over Current Assumption (%)</t>
        </is>
      </c>
      <c r="C27" s="399">
        <f>C26/C16</f>
        <v/>
      </c>
      <c r="D27" s="400" t="n"/>
      <c r="E27" s="525" t="n"/>
    </row>
    <row r="28" ht="18" customHeight="1" s="534">
      <c r="A28" s="207" t="n"/>
      <c r="B28" s="166" t="n"/>
      <c r="C28" s="209" t="n"/>
      <c r="D28" s="206" t="n"/>
      <c r="E28" s="525" t="n"/>
    </row>
    <row r="29" ht="18" customHeight="1" s="534">
      <c r="A29" s="282" t="inlineStr">
        <is>
          <t>Section C — Benchmarking</t>
        </is>
      </c>
      <c r="B29" s="282" t="n"/>
      <c r="C29" s="282" t="n"/>
      <c r="D29" s="386" t="inlineStr">
        <is>
          <t>Source</t>
        </is>
      </c>
      <c r="E29" s="525" t="n"/>
    </row>
    <row r="30" ht="18" customHeight="1" s="534">
      <c r="B30" s="336" t="inlineStr">
        <is>
          <t>Lazard LCOE - Utility Solar+Storage Low ($/MWh)</t>
        </is>
      </c>
      <c r="C30" s="393" t="n">
        <v>50</v>
      </c>
      <c r="D30" s="401" t="inlineStr">
        <is>
          <t>Lazard v18.0 (2025)</t>
        </is>
      </c>
      <c r="E30" s="525" t="n"/>
    </row>
    <row r="31" ht="18" customHeight="1" s="534">
      <c r="B31" s="402" t="inlineStr">
        <is>
          <t>Lazard LCOE - Utility Solar+Storage High ($/MWh)</t>
        </is>
      </c>
      <c r="C31" s="403" t="n">
        <v>131</v>
      </c>
      <c r="D31" s="404" t="inlineStr">
        <is>
          <t>Lazard v18.0 (2025)</t>
        </is>
      </c>
      <c r="E31" s="525" t="n"/>
    </row>
    <row r="32" ht="18" customHeight="1" s="534">
      <c r="B32" s="337" t="inlineStr">
        <is>
          <t>LBNL PPA Price Range - Low ($/MWh)</t>
        </is>
      </c>
      <c r="C32" s="393" t="n">
        <v>40</v>
      </c>
      <c r="D32" s="394" t="inlineStr">
        <is>
          <t>LBNL Utility-Scale Solar 2024</t>
        </is>
      </c>
      <c r="E32" s="525" t="n"/>
    </row>
    <row r="33" ht="18" customHeight="1" s="534">
      <c r="B33" s="402" t="inlineStr">
        <is>
          <t>LBNL PPA Price Range - High ($/MWh)</t>
        </is>
      </c>
      <c r="C33" s="403" t="n">
        <v>65</v>
      </c>
      <c r="D33" s="404" t="inlineStr">
        <is>
          <t>LBNL Utility-Scale Solar 2024</t>
        </is>
      </c>
      <c r="E33" s="525" t="n"/>
    </row>
    <row r="34" ht="18" customHeight="1" s="534">
      <c r="B34" s="213" t="inlineStr">
        <is>
          <t>Your LCOE vs. Lazard Range</t>
        </is>
      </c>
      <c r="C34" s="124">
        <f>IF(AND(C11&gt;=C30,C11&lt;=C31),"Within range","Outside range")</f>
        <v/>
      </c>
      <c r="D34" s="525" t="n"/>
      <c r="E34" s="525" t="n"/>
    </row>
    <row r="35" ht="18" customHeight="1" s="534">
      <c r="B35" s="213" t="inlineStr">
        <is>
          <t>Min Viable PPA vs. LBNL Market Range</t>
        </is>
      </c>
      <c r="C35" s="214">
        <f>IF(AND(C25&gt;=C32,C25&lt;=C33),"Achievable", "Above market")</f>
        <v/>
      </c>
      <c r="D35" s="525" t="n"/>
      <c r="E35" s="525" t="n"/>
    </row>
  </sheetData>
  <mergeCells count="1">
    <mergeCell ref="A1:E1"/>
  </mergeCells>
  <conditionalFormatting sqref="B21:C21">
    <cfRule type="expression" priority="3" dxfId="3">
      <formula>$C$21&gt;0</formula>
    </cfRule>
  </conditionalFormatting>
  <conditionalFormatting sqref="C21">
    <cfRule type="cellIs" priority="4" operator="greaterThan" dxfId="16">
      <formula>0</formula>
    </cfRule>
  </conditionalFormatting>
  <conditionalFormatting sqref="C34">
    <cfRule type="expression" priority="2" dxfId="13">
      <formula>$C$34="Within range"</formula>
    </cfRule>
  </conditionalFormatting>
  <conditionalFormatting sqref="C35">
    <cfRule type="expression" priority="1" dxfId="13">
      <formula>$C$35="Achievable"</formula>
    </cfRule>
  </conditionalFormatting>
  <pageMargins left="0.7" right="0.7" top="0.75" bottom="0.75" header="0.511811023622047" footer="0.511811023622047"/>
  <pageSetup orientation="portrait" paperSize="9" horizontalDpi="300" verticalDpi="300"/>
</worksheet>
</file>

<file path=xl/worksheets/sheet10.xml><?xml version="1.0" encoding="utf-8"?>
<worksheet xmlns="http://schemas.openxmlformats.org/spreadsheetml/2006/main">
  <sheetPr>
    <tabColor rgb="FF595959"/>
    <outlinePr summaryBelow="1" summaryRight="1"/>
    <pageSetUpPr/>
  </sheetPr>
  <dimension ref="A1:L170"/>
  <sheetViews>
    <sheetView showGridLines="0" zoomScaleNormal="100" workbookViewId="0">
      <selection activeCell="C3" sqref="C3"/>
    </sheetView>
  </sheetViews>
  <sheetFormatPr baseColWidth="8" defaultColWidth="8.7265625" defaultRowHeight="14.5"/>
  <cols>
    <col width="2" customWidth="1" style="534" min="1" max="1"/>
    <col width="34" customWidth="1" style="79" min="2" max="2"/>
    <col width="22" customWidth="1" style="534" min="3" max="3"/>
    <col width="14" customWidth="1" style="534" min="4" max="7"/>
    <col width="16" customWidth="1" style="534" min="8" max="8"/>
    <col width="14" customWidth="1" style="534" min="9" max="10"/>
  </cols>
  <sheetData>
    <row r="1" ht="27.75" customHeight="1" s="534">
      <c r="A1" s="512" t="inlineStr">
        <is>
          <t>SENSITIVITIES  —  10 One-Way · 4 Two-Way · 4 Scenarios  ·  Base: Project IRR 7.75% / Equity IRR 12.87%</t>
        </is>
      </c>
      <c r="B1" s="535" t="n"/>
      <c r="C1" s="535" t="n"/>
      <c r="D1" s="535" t="n"/>
      <c r="E1" s="535" t="n"/>
      <c r="F1" s="535" t="n"/>
      <c r="G1" s="535" t="n"/>
      <c r="H1" s="535" t="n"/>
      <c r="I1" s="535" t="n"/>
      <c r="J1" s="535" t="n"/>
    </row>
    <row r="2" ht="16.5" customHeight="1" s="534">
      <c r="A2" s="282" t="inlineStr">
        <is>
          <t>Section 1 — Base Case Summary</t>
        </is>
      </c>
      <c r="B2" s="282" t="n"/>
      <c r="C2" s="282" t="n"/>
      <c r="D2" s="143" t="n"/>
      <c r="E2" s="143" t="n"/>
      <c r="F2" s="143" t="n"/>
      <c r="G2" s="143" t="n"/>
      <c r="H2" s="143" t="n"/>
      <c r="I2" s="143" t="n"/>
      <c r="J2" s="143" t="n"/>
    </row>
    <row r="3" ht="16.5" customHeight="1" s="534">
      <c r="A3" s="207" t="n"/>
      <c r="B3" s="414" t="inlineStr">
        <is>
          <t>Project IRR (%)</t>
        </is>
      </c>
      <c r="C3" s="415" t="n">
        <v>0.07749320138645488</v>
      </c>
      <c r="D3" s="143" t="n"/>
      <c r="E3" s="143" t="n"/>
      <c r="F3" s="143" t="n"/>
      <c r="G3" s="143" t="n"/>
      <c r="H3" s="143" t="n"/>
      <c r="I3" s="143" t="n"/>
      <c r="J3" s="143" t="n"/>
    </row>
    <row r="4" ht="16.5" customHeight="1" s="534">
      <c r="A4" s="207" t="n"/>
      <c r="B4" s="278" t="inlineStr">
        <is>
          <t>Equity IRR (%)</t>
        </is>
      </c>
      <c r="C4" s="418" t="n">
        <v>0.128723426126623</v>
      </c>
      <c r="D4" s="143" t="n"/>
      <c r="E4" s="143" t="n"/>
      <c r="F4" s="143" t="n"/>
      <c r="G4" s="143" t="n"/>
      <c r="H4" s="143" t="n"/>
      <c r="I4" s="143" t="n"/>
      <c r="J4" s="143" t="n"/>
    </row>
    <row r="5" ht="16.5" customHeight="1" s="534">
      <c r="A5" s="207" t="n"/>
      <c r="B5" s="251" t="inlineStr">
        <is>
          <t>Min DSCR (x)</t>
        </is>
      </c>
      <c r="C5" s="416" t="n">
        <v>1.3</v>
      </c>
      <c r="D5" s="143" t="n"/>
      <c r="E5" s="143" t="n"/>
      <c r="F5" s="143" t="n"/>
      <c r="G5" s="143" t="n"/>
      <c r="H5" s="143" t="n"/>
      <c r="I5" s="143" t="n"/>
      <c r="J5" s="143" t="n"/>
    </row>
    <row r="6" ht="16.5" customHeight="1" s="534">
      <c r="A6" s="207" t="n"/>
      <c r="B6" s="278" t="inlineStr">
        <is>
          <t>Equity Multiple (x)</t>
        </is>
      </c>
      <c r="C6" s="419" t="n">
        <v>5.063051128519211</v>
      </c>
      <c r="D6" s="143" t="n"/>
      <c r="E6" s="143" t="n"/>
      <c r="F6" s="143" t="n"/>
      <c r="G6" s="143" t="n"/>
      <c r="H6" s="143" t="n"/>
      <c r="I6" s="143" t="n"/>
      <c r="J6" s="143" t="n"/>
    </row>
    <row r="7" ht="16.5" customHeight="1" s="534">
      <c r="A7" s="207" t="n"/>
      <c r="B7" s="251" t="inlineStr">
        <is>
          <t>Payback Period (years)</t>
        </is>
      </c>
      <c r="C7" s="417" t="n">
        <v>9</v>
      </c>
      <c r="D7" s="143" t="n"/>
      <c r="E7" s="143" t="n"/>
      <c r="F7" s="143" t="n"/>
      <c r="G7" s="143" t="n"/>
      <c r="H7" s="143" t="n"/>
      <c r="I7" s="143" t="n"/>
      <c r="J7" s="143" t="n"/>
    </row>
    <row r="8" ht="16.5" customHeight="1" s="534">
      <c r="A8" s="207" t="n"/>
      <c r="B8" s="278" t="inlineStr">
        <is>
          <t>Total Project Cost ($)</t>
        </is>
      </c>
      <c r="C8" s="423" t="n">
        <v>172100000</v>
      </c>
      <c r="D8" s="143" t="n"/>
      <c r="E8" s="143" t="n"/>
      <c r="F8" s="143" t="n"/>
      <c r="G8" s="143" t="n"/>
      <c r="H8" s="143" t="n"/>
      <c r="I8" s="143" t="n"/>
      <c r="J8" s="143" t="n"/>
    </row>
    <row r="9" ht="16.5" customHeight="1" s="534">
      <c r="A9" s="207" t="n"/>
      <c r="B9" s="251" t="inlineStr">
        <is>
          <t>Debt Amount ($)</t>
        </is>
      </c>
      <c r="C9" s="424" t="n">
        <v>99094750.34567195</v>
      </c>
      <c r="D9" s="143" t="n"/>
      <c r="E9" s="143" t="n"/>
      <c r="F9" s="143" t="n"/>
      <c r="G9" s="143" t="n"/>
      <c r="H9" s="143" t="n"/>
      <c r="I9" s="143" t="n"/>
      <c r="J9" s="143" t="n"/>
    </row>
    <row r="10" ht="16.5" customHeight="1" s="534">
      <c r="A10" s="207" t="n"/>
      <c r="B10" s="278" t="inlineStr">
        <is>
          <t>Equity Contribution ($)</t>
        </is>
      </c>
      <c r="C10" s="423" t="n">
        <v>27467499.65432805</v>
      </c>
      <c r="D10" s="143" t="n"/>
      <c r="E10" s="143" t="n"/>
      <c r="F10" s="143" t="n"/>
      <c r="G10" s="143" t="n"/>
      <c r="H10" s="143" t="n"/>
      <c r="I10" s="143" t="n"/>
      <c r="J10" s="143" t="n"/>
    </row>
    <row r="11" ht="16.5" customHeight="1" s="534">
      <c r="A11" s="207" t="n"/>
      <c r="B11" s="251" t="inlineStr">
        <is>
          <t>LCOE — System ($/MWh)</t>
        </is>
      </c>
      <c r="C11" s="424" t="n">
        <v>69.84004863733207</v>
      </c>
      <c r="D11" s="143" t="n"/>
      <c r="E11" s="143" t="n"/>
      <c r="F11" s="143" t="n"/>
      <c r="G11" s="143" t="n"/>
      <c r="H11" s="143" t="n"/>
      <c r="I11" s="143" t="n"/>
      <c r="J11" s="143" t="n"/>
    </row>
    <row r="12" ht="16.5" customHeight="1" s="534">
      <c r="A12" s="207" t="n"/>
      <c r="B12" s="341" t="inlineStr">
        <is>
          <t>Min Viable PPA Price ($/MWh)</t>
        </is>
      </c>
      <c r="C12" s="425" t="n">
        <v>49.02399445114678</v>
      </c>
      <c r="D12" s="143" t="n"/>
      <c r="E12" s="143" t="n"/>
      <c r="F12" s="143" t="n"/>
      <c r="G12" s="143" t="n"/>
      <c r="H12" s="143" t="n"/>
      <c r="I12" s="143" t="n"/>
      <c r="J12" s="143" t="n"/>
    </row>
    <row r="13" ht="16.5" customHeight="1" s="534">
      <c r="A13" s="207" t="n"/>
      <c r="B13" s="142" t="n"/>
      <c r="C13" s="143" t="n"/>
      <c r="D13" s="143" t="n"/>
      <c r="E13" s="143" t="n"/>
      <c r="F13" s="143" t="n"/>
      <c r="G13" s="143" t="n"/>
      <c r="H13" s="143" t="n"/>
      <c r="I13" s="143" t="n"/>
      <c r="J13" s="143" t="n"/>
    </row>
    <row r="14" ht="16.5" customHeight="1" s="534">
      <c r="A14" s="207" t="n"/>
      <c r="B14" s="142" t="n"/>
      <c r="C14" s="143" t="n"/>
      <c r="D14" s="143" t="n"/>
      <c r="E14" s="143" t="n"/>
      <c r="F14" s="143" t="n"/>
      <c r="G14" s="143" t="n"/>
      <c r="H14" s="143" t="n"/>
      <c r="I14" s="143" t="n"/>
      <c r="J14" s="143" t="n"/>
    </row>
    <row r="15" ht="16.5" customHeight="1" s="534">
      <c r="A15" s="282" t="inlineStr">
        <is>
          <t>Section 2 — One-Way Sensitivity Tables</t>
        </is>
      </c>
      <c r="B15" s="282" t="n"/>
      <c r="C15" s="282" t="n"/>
      <c r="D15" s="282" t="n"/>
      <c r="E15" s="282" t="n"/>
      <c r="F15" s="282" t="n"/>
      <c r="G15" s="282" t="n"/>
      <c r="H15" s="282" t="n"/>
      <c r="I15" s="282" t="n"/>
      <c r="J15" s="167" t="n"/>
    </row>
    <row r="16" ht="19.5" customHeight="1" s="534">
      <c r="A16" s="81" t="n"/>
      <c r="B16" s="530" t="inlineStr">
        <is>
          <t>Sensitivity Table 1 — PPA Price</t>
        </is>
      </c>
      <c r="C16" s="81" t="n"/>
      <c r="D16" s="127" t="n"/>
      <c r="E16" s="127" t="n"/>
      <c r="F16" s="127" t="n"/>
      <c r="G16" s="127" t="n"/>
      <c r="H16" s="127" t="n"/>
      <c r="I16" s="81" t="n"/>
    </row>
    <row r="17" ht="16.5" customHeight="1" s="534">
      <c r="A17" s="217" t="n"/>
      <c r="C17" s="318" t="inlineStr">
        <is>
          <t>Scenario</t>
        </is>
      </c>
      <c r="D17" s="318" t="inlineStr">
        <is>
          <t>PPA Price</t>
        </is>
      </c>
      <c r="E17" s="318" t="inlineStr">
        <is>
          <t>Project IRR</t>
        </is>
      </c>
      <c r="F17" s="318" t="inlineStr">
        <is>
          <t>Equity IRR</t>
        </is>
      </c>
      <c r="G17" s="318" t="inlineStr">
        <is>
          <t>Min DSCR</t>
        </is>
      </c>
      <c r="H17" s="318" t="inlineStr">
        <is>
          <t>Equity Multiple</t>
        </is>
      </c>
      <c r="I17" s="318" t="inlineStr">
        <is>
          <t>ΔEquity IRR</t>
        </is>
      </c>
      <c r="J17" s="218" t="n"/>
      <c r="K17" s="218" t="n"/>
      <c r="L17" s="218" t="n"/>
    </row>
    <row r="18" ht="18" customHeight="1" s="534">
      <c r="A18" s="217" t="n"/>
      <c r="C18" s="405" t="inlineStr">
        <is>
          <t>Bear</t>
        </is>
      </c>
      <c r="D18" s="420" t="n">
        <v>40</v>
      </c>
      <c r="E18" s="219" t="n">
        <v>0.05804749579882063</v>
      </c>
      <c r="F18" s="219" t="n">
        <v>0.06839725889551418</v>
      </c>
      <c r="G18" s="220" t="n">
        <v>1.3</v>
      </c>
      <c r="H18" s="220" t="n">
        <v>2.884671716961802</v>
      </c>
      <c r="I18" s="221" t="n">
        <v>-0.06032616723110884</v>
      </c>
      <c r="J18" s="218" t="n"/>
      <c r="K18" s="218" t="n"/>
      <c r="L18" s="218" t="n"/>
    </row>
    <row r="19" ht="16.5" customHeight="1" s="534">
      <c r="A19" s="217" t="n"/>
      <c r="C19" s="406" t="inlineStr">
        <is>
          <t>Low</t>
        </is>
      </c>
      <c r="D19" s="421" t="n">
        <v>45</v>
      </c>
      <c r="E19" s="222" t="n">
        <v>0.06777319228481282</v>
      </c>
      <c r="F19" s="222" t="n">
        <v>0.09215710725761417</v>
      </c>
      <c r="G19" s="223" t="n">
        <v>1.3</v>
      </c>
      <c r="H19" s="223" t="n">
        <v>3.704280970083662</v>
      </c>
      <c r="I19" s="224" t="n">
        <v>-0.03656631886900885</v>
      </c>
      <c r="J19" s="218" t="n"/>
      <c r="K19" s="218" t="n"/>
      <c r="L19" s="218" t="n"/>
    </row>
    <row r="20" ht="16.5" customHeight="1" s="534">
      <c r="A20" s="217" t="n"/>
      <c r="C20" s="407" t="inlineStr">
        <is>
          <t>Base</t>
        </is>
      </c>
      <c r="D20" s="422" t="n">
        <v>50</v>
      </c>
      <c r="E20" s="225" t="n">
        <v>0.07749320138645488</v>
      </c>
      <c r="F20" s="225" t="n">
        <v>0.128723426126623</v>
      </c>
      <c r="G20" s="226" t="n">
        <v>1.3</v>
      </c>
      <c r="H20" s="226" t="n">
        <v>5.063051128519211</v>
      </c>
      <c r="I20" s="227" t="n">
        <v>0</v>
      </c>
      <c r="J20" s="218" t="n"/>
      <c r="K20" s="218" t="n"/>
      <c r="L20" s="218" t="n"/>
    </row>
    <row r="21" ht="16.5" customHeight="1" s="534">
      <c r="A21" s="217" t="n"/>
      <c r="C21" s="406" t="inlineStr">
        <is>
          <t>Mid-High</t>
        </is>
      </c>
      <c r="D21" s="421" t="n">
        <v>55</v>
      </c>
      <c r="E21" s="222" t="n">
        <v>0.08719398190639005</v>
      </c>
      <c r="F21" s="222" t="n">
        <v>0.1451035959640699</v>
      </c>
      <c r="G21" s="223" t="n">
        <v>1.3</v>
      </c>
      <c r="H21" s="223" t="n">
        <v>4.708178698756646</v>
      </c>
      <c r="I21" s="224" t="n">
        <v>0.01638016983744683</v>
      </c>
      <c r="J21" s="218" t="n"/>
      <c r="K21" s="218" t="n"/>
      <c r="L21" s="218" t="n"/>
    </row>
    <row r="22" ht="16.5" customHeight="1" s="534">
      <c r="A22" s="217" t="n"/>
      <c r="C22" s="405" t="inlineStr">
        <is>
          <t>High</t>
        </is>
      </c>
      <c r="D22" s="420" t="n">
        <v>60</v>
      </c>
      <c r="E22" s="219" t="n">
        <v>0.09686594890280875</v>
      </c>
      <c r="F22" s="219" t="n">
        <v>0.1959416029877921</v>
      </c>
      <c r="G22" s="220" t="n">
        <v>1.3</v>
      </c>
      <c r="H22" s="220" t="n">
        <v>6.14024611426828</v>
      </c>
      <c r="I22" s="221" t="n">
        <v>0.06721817686116904</v>
      </c>
      <c r="J22" s="218" t="n"/>
      <c r="K22" s="218" t="n"/>
      <c r="L22" s="218" t="n"/>
    </row>
    <row r="23" ht="16.5" customHeight="1" s="534">
      <c r="A23" s="207" t="n"/>
      <c r="C23" s="406" t="inlineStr">
        <is>
          <t>Bull</t>
        </is>
      </c>
      <c r="D23" s="421" t="n">
        <v>65</v>
      </c>
      <c r="E23" s="222" t="n">
        <v>0.1063153146270879</v>
      </c>
      <c r="F23" s="222" t="n">
        <v>0.2825585460792901</v>
      </c>
      <c r="G23" s="223" t="n">
        <v>1.3</v>
      </c>
      <c r="H23" s="223" t="n">
        <v>8.568363956575388</v>
      </c>
      <c r="I23" s="224" t="n">
        <v>0.1538351199526671</v>
      </c>
    </row>
    <row r="24" ht="16.5" customHeight="1" s="534">
      <c r="A24" s="207" t="n"/>
      <c r="C24" s="408" t="n"/>
      <c r="D24" s="588" t="n"/>
      <c r="E24" s="410" t="n"/>
      <c r="F24" s="410" t="n"/>
      <c r="G24" s="411" t="n"/>
      <c r="H24" s="411" t="n"/>
      <c r="I24" s="412" t="n"/>
    </row>
    <row r="25">
      <c r="A25" s="81" t="n"/>
      <c r="B25" s="530" t="inlineStr">
        <is>
          <t>Sensitivity Table 2 — Solar Capacity Factor</t>
        </is>
      </c>
      <c r="C25" s="81" t="n"/>
      <c r="D25" s="127" t="n"/>
      <c r="E25" s="127" t="n"/>
      <c r="F25" s="127" t="n"/>
      <c r="G25" s="127" t="n"/>
      <c r="H25" s="127" t="n"/>
      <c r="I25" s="81" t="n"/>
    </row>
    <row r="26" ht="23" customHeight="1" s="534">
      <c r="A26" s="207" t="n"/>
      <c r="B26" s="142" t="n"/>
      <c r="C26" s="318" t="inlineStr">
        <is>
          <t>Scenario</t>
        </is>
      </c>
      <c r="D26" s="518" t="inlineStr">
        <is>
          <t>Capacity Factor (%)</t>
        </is>
      </c>
      <c r="E26" s="318" t="inlineStr">
        <is>
          <t>Project IRR</t>
        </is>
      </c>
      <c r="F26" s="318" t="inlineStr">
        <is>
          <t>Equity IRR</t>
        </is>
      </c>
      <c r="G26" s="318" t="inlineStr">
        <is>
          <t>Min DSCR</t>
        </is>
      </c>
      <c r="H26" s="318" t="inlineStr">
        <is>
          <t>Equity Multiple</t>
        </is>
      </c>
      <c r="I26" s="318" t="inlineStr">
        <is>
          <t>ΔEquity IRR</t>
        </is>
      </c>
    </row>
    <row r="27" ht="16.5" customHeight="1" s="534">
      <c r="A27" s="207" t="n"/>
      <c r="B27" s="142" t="n"/>
      <c r="C27" s="426" t="inlineStr">
        <is>
          <t>P90</t>
        </is>
      </c>
      <c r="D27" s="228" t="n">
        <v>0.24</v>
      </c>
      <c r="E27" s="229" t="n">
        <v>0.06542309557624337</v>
      </c>
      <c r="F27" s="229" t="n">
        <v>0.08675740170291246</v>
      </c>
      <c r="G27" s="230" t="n">
        <v>1.3</v>
      </c>
      <c r="H27" s="230" t="n">
        <v>3.412374412940949</v>
      </c>
      <c r="I27" s="229" t="n">
        <v>-0.04196602442371056</v>
      </c>
    </row>
    <row r="28" ht="18" customHeight="1" s="534">
      <c r="A28" s="207" t="n"/>
      <c r="B28" s="216" t="n"/>
      <c r="C28" s="427" t="inlineStr">
        <is>
          <t>Low</t>
        </is>
      </c>
      <c r="D28" s="231" t="n">
        <v>0.25</v>
      </c>
      <c r="E28" s="232" t="n">
        <v>0.06949452394864375</v>
      </c>
      <c r="F28" s="232" t="n">
        <v>0.09851265968235867</v>
      </c>
      <c r="G28" s="233" t="n">
        <v>1.3</v>
      </c>
      <c r="H28" s="233" t="n">
        <v>3.853545698760629</v>
      </c>
      <c r="I28" s="232" t="n">
        <v>-0.03021076644426435</v>
      </c>
    </row>
    <row r="29" ht="16.5" customHeight="1" s="534">
      <c r="A29" s="207" t="n"/>
      <c r="B29" s="142" t="n"/>
      <c r="C29" s="407" t="inlineStr">
        <is>
          <t>Base (P50)</t>
        </is>
      </c>
      <c r="D29" s="234" t="n">
        <v>0.27</v>
      </c>
      <c r="E29" s="235" t="n">
        <v>0.07749320138645488</v>
      </c>
      <c r="F29" s="235" t="n">
        <v>0.128723426126623</v>
      </c>
      <c r="G29" s="236" t="n">
        <v>1.3</v>
      </c>
      <c r="H29" s="236" t="n">
        <v>5.063051128519211</v>
      </c>
      <c r="I29" s="235" t="n">
        <v>0</v>
      </c>
    </row>
    <row r="30" ht="16.5" customHeight="1" s="534">
      <c r="A30" s="207" t="n"/>
      <c r="B30" s="142" t="n"/>
      <c r="C30" s="427" t="inlineStr">
        <is>
          <t>High</t>
        </is>
      </c>
      <c r="D30" s="231" t="n">
        <v>0.29</v>
      </c>
      <c r="E30" s="232" t="n">
        <v>0.08532488582401587</v>
      </c>
      <c r="F30" s="232" t="n">
        <v>0.1361449544279218</v>
      </c>
      <c r="G30" s="233" t="n">
        <v>1.3</v>
      </c>
      <c r="H30" s="233" t="n">
        <v>4.547103451456027</v>
      </c>
      <c r="I30" s="232" t="n">
        <v>0.00742152830129883</v>
      </c>
    </row>
    <row r="31" ht="16.5" customHeight="1" s="534">
      <c r="A31" s="207" t="n"/>
      <c r="B31" s="142" t="n"/>
      <c r="C31" s="426" t="inlineStr">
        <is>
          <t>P10</t>
        </is>
      </c>
      <c r="D31" s="228" t="n">
        <v>0.31</v>
      </c>
      <c r="E31" s="229" t="n">
        <v>0.09301493776264236</v>
      </c>
      <c r="F31" s="229" t="n">
        <v>0.1686848192623849</v>
      </c>
      <c r="G31" s="230" t="n">
        <v>1.3</v>
      </c>
      <c r="H31" s="230" t="n">
        <v>5.599972257072925</v>
      </c>
      <c r="I31" s="229" t="n">
        <v>0.03996139313576186</v>
      </c>
      <c r="J31" s="143" t="n"/>
    </row>
    <row r="32" ht="16.5" customHeight="1" s="534">
      <c r="A32" s="207" t="n"/>
      <c r="B32" s="142" t="n"/>
      <c r="C32" s="143" t="n"/>
      <c r="D32" s="143" t="n"/>
      <c r="E32" s="143" t="n"/>
      <c r="F32" s="143" t="n"/>
      <c r="G32" s="143" t="n"/>
      <c r="H32" s="143" t="n"/>
      <c r="I32" s="143" t="n"/>
      <c r="J32" s="143" t="n"/>
    </row>
    <row r="33">
      <c r="A33" s="81" t="n"/>
      <c r="B33" s="530" t="inlineStr">
        <is>
          <t>Sensitivity Table 3 — Solar EPC Cost</t>
        </is>
      </c>
      <c r="C33" s="81" t="n"/>
      <c r="D33" s="127" t="n"/>
      <c r="E33" s="127" t="n"/>
      <c r="F33" s="127" t="n"/>
      <c r="G33" s="127" t="n"/>
      <c r="H33" s="127" t="n"/>
      <c r="I33" s="81" t="n"/>
    </row>
    <row r="34" ht="23" customHeight="1" s="534">
      <c r="A34" s="207" t="n"/>
      <c r="B34" s="142" t="n"/>
      <c r="C34" s="518" t="inlineStr">
        <is>
          <t>Scenario</t>
        </is>
      </c>
      <c r="D34" s="518" t="inlineStr">
        <is>
          <t>Solar EPC ($/Wdc)</t>
        </is>
      </c>
      <c r="E34" s="518" t="inlineStr">
        <is>
          <t>Project IRR</t>
        </is>
      </c>
      <c r="F34" s="518" t="inlineStr">
        <is>
          <t>Equity IRR</t>
        </is>
      </c>
      <c r="G34" s="518" t="inlineStr">
        <is>
          <t>Min DSCR</t>
        </is>
      </c>
      <c r="H34" s="518" t="inlineStr">
        <is>
          <t>Equity Multiple</t>
        </is>
      </c>
      <c r="I34" s="518" t="inlineStr">
        <is>
          <t>ΔEquity IRR</t>
        </is>
      </c>
    </row>
    <row r="35" ht="16.5" customHeight="1" s="534">
      <c r="A35" s="207" t="n"/>
      <c r="B35" s="142" t="n"/>
      <c r="C35" s="405" t="inlineStr">
        <is>
          <t>Bull</t>
        </is>
      </c>
      <c r="D35" s="230" t="n">
        <v>0.7</v>
      </c>
      <c r="E35" s="229" t="n">
        <v>0.08711190614473607</v>
      </c>
      <c r="F35" s="229" t="n">
        <v>0.1424855803070246</v>
      </c>
      <c r="G35" s="230" t="n">
        <v>1.3</v>
      </c>
      <c r="H35" s="230" t="n">
        <v>4.730058038314263</v>
      </c>
      <c r="I35" s="229" t="n">
        <v>0.01376215418040161</v>
      </c>
    </row>
    <row r="36" ht="18" customHeight="1" s="534">
      <c r="A36" s="207" t="n"/>
      <c r="B36" s="216" t="n"/>
      <c r="C36" s="406" t="inlineStr">
        <is>
          <t>Low</t>
        </is>
      </c>
      <c r="D36" s="233" t="n">
        <v>0.75</v>
      </c>
      <c r="E36" s="232" t="n">
        <v>0.08214956957257269</v>
      </c>
      <c r="F36" s="232" t="n">
        <v>0.1251334146264742</v>
      </c>
      <c r="G36" s="233" t="n">
        <v>1.3</v>
      </c>
      <c r="H36" s="233" t="n">
        <v>4.189408514152601</v>
      </c>
      <c r="I36" s="232" t="n">
        <v>-0.003590011500148815</v>
      </c>
    </row>
    <row r="37" ht="16.5" customHeight="1" s="534">
      <c r="A37" s="207" t="n"/>
      <c r="B37" s="142" t="n"/>
      <c r="C37" s="407" t="inlineStr">
        <is>
          <t>Base</t>
        </is>
      </c>
      <c r="D37" s="236" t="n">
        <v>0.8</v>
      </c>
      <c r="E37" s="235" t="n">
        <v>0.07749320138645488</v>
      </c>
      <c r="F37" s="235" t="n">
        <v>0.128723426126623</v>
      </c>
      <c r="G37" s="236" t="n">
        <v>1.3</v>
      </c>
      <c r="H37" s="236" t="n">
        <v>5.063051128519211</v>
      </c>
      <c r="I37" s="235" t="n">
        <v>0</v>
      </c>
    </row>
    <row r="38" ht="18" customHeight="1" s="534">
      <c r="B38" s="237" t="n"/>
      <c r="C38" s="406" t="inlineStr">
        <is>
          <t>High</t>
        </is>
      </c>
      <c r="D38" s="233" t="n">
        <v>0.9</v>
      </c>
      <c r="E38" s="232" t="n">
        <v>0.06897697444064854</v>
      </c>
      <c r="F38" s="232" t="n">
        <v>0.09707287671533793</v>
      </c>
      <c r="G38" s="233" t="n">
        <v>1.3</v>
      </c>
      <c r="H38" s="233" t="n">
        <v>3.816966284137412</v>
      </c>
      <c r="I38" s="232" t="n">
        <v>-0.03165054941128509</v>
      </c>
    </row>
    <row r="39" ht="16.5" customHeight="1" s="534">
      <c r="A39" s="207" t="n"/>
      <c r="B39" s="142" t="n"/>
      <c r="C39" s="405" t="inlineStr">
        <is>
          <t>Bear</t>
        </is>
      </c>
      <c r="D39" s="230" t="n">
        <v>1</v>
      </c>
      <c r="E39" s="229" t="n">
        <v>0.0613590767627612</v>
      </c>
      <c r="F39" s="229" t="n">
        <v>0.07678540865012962</v>
      </c>
      <c r="G39" s="230" t="n">
        <v>1.3</v>
      </c>
      <c r="H39" s="230" t="n">
        <v>3.078201341389041</v>
      </c>
      <c r="I39" s="229" t="n">
        <v>-0.0519380174764934</v>
      </c>
      <c r="J39" s="143" t="n"/>
    </row>
    <row r="40" ht="16.5" customHeight="1" s="534">
      <c r="A40" s="207" t="n"/>
      <c r="B40" s="142" t="n"/>
      <c r="C40" s="143" t="n"/>
      <c r="D40" s="143" t="n"/>
      <c r="E40" s="143" t="n"/>
      <c r="F40" s="143" t="n"/>
      <c r="G40" s="143" t="n"/>
      <c r="H40" s="143" t="n"/>
      <c r="I40" s="143" t="n"/>
      <c r="J40" s="143" t="n"/>
    </row>
    <row r="41" ht="15" customHeight="1" s="534" thickBot="1">
      <c r="A41" s="81" t="n"/>
      <c r="B41" s="82" t="inlineStr">
        <is>
          <t>Sensitivity Table 4 — BESS EPC Cost</t>
        </is>
      </c>
      <c r="C41" s="81" t="n"/>
      <c r="D41" s="127" t="n"/>
      <c r="E41" s="127" t="n"/>
      <c r="F41" s="127" t="n"/>
      <c r="G41" s="127" t="n"/>
      <c r="H41" s="127" t="n"/>
      <c r="I41" s="81" t="n"/>
    </row>
    <row r="42" ht="23" customHeight="1" s="534">
      <c r="A42" s="207" t="n"/>
      <c r="B42" s="142" t="n"/>
      <c r="C42" s="518" t="inlineStr">
        <is>
          <t>Scenario</t>
        </is>
      </c>
      <c r="D42" s="518" t="inlineStr">
        <is>
          <t>BESS EPC ($/kWh)</t>
        </is>
      </c>
      <c r="E42" s="518" t="inlineStr">
        <is>
          <t>Project IRR</t>
        </is>
      </c>
      <c r="F42" s="518" t="inlineStr">
        <is>
          <t>Equity IRR</t>
        </is>
      </c>
      <c r="G42" s="518" t="inlineStr">
        <is>
          <t>Min DSCR</t>
        </is>
      </c>
      <c r="H42" s="518" t="inlineStr">
        <is>
          <t>Equity Multiple</t>
        </is>
      </c>
      <c r="I42" s="518" t="inlineStr">
        <is>
          <t>ΔEquity IRR</t>
        </is>
      </c>
    </row>
    <row r="43" ht="16.5" customHeight="1" s="534">
      <c r="A43" s="207" t="n"/>
      <c r="B43" s="142" t="n"/>
      <c r="C43" s="428" t="inlineStr">
        <is>
          <t>Bull</t>
        </is>
      </c>
      <c r="D43" s="589" t="n">
        <v>180</v>
      </c>
      <c r="E43" s="239" t="n">
        <v>0.0854216568287367</v>
      </c>
      <c r="F43" s="239" t="n">
        <v>0.1362304522125468</v>
      </c>
      <c r="G43" s="240" t="n">
        <v>1.3</v>
      </c>
      <c r="H43" s="240" t="n">
        <v>4.534339759804474</v>
      </c>
      <c r="I43" s="239" t="n">
        <v>0.007507026085923796</v>
      </c>
    </row>
    <row r="44" ht="18" customHeight="1" s="534">
      <c r="A44" s="207" t="n"/>
      <c r="B44" s="216" t="n"/>
      <c r="C44" s="429" t="inlineStr">
        <is>
          <t>Low</t>
        </is>
      </c>
      <c r="D44" s="590" t="n">
        <v>200</v>
      </c>
      <c r="E44" s="243" t="n">
        <v>0.08214956957257269</v>
      </c>
      <c r="F44" s="243" t="n">
        <v>0.1251334146264742</v>
      </c>
      <c r="G44" s="244" t="n">
        <v>1.3</v>
      </c>
      <c r="H44" s="244" t="n">
        <v>4.189408514152601</v>
      </c>
      <c r="I44" s="243" t="n">
        <v>-0.003590011500148815</v>
      </c>
    </row>
    <row r="45" ht="16.5" customHeight="1" s="534">
      <c r="A45" s="207" t="n"/>
      <c r="B45" s="142" t="n"/>
      <c r="C45" s="430" t="inlineStr">
        <is>
          <t>Base</t>
        </is>
      </c>
      <c r="D45" s="591" t="n">
        <v>230</v>
      </c>
      <c r="E45" s="126" t="n">
        <v>0.07749320138645488</v>
      </c>
      <c r="F45" s="126" t="n">
        <v>0.128723426126623</v>
      </c>
      <c r="G45" s="122" t="n">
        <v>1.3</v>
      </c>
      <c r="H45" s="122" t="n">
        <v>5.063051128519211</v>
      </c>
      <c r="I45" s="126" t="n">
        <v>0</v>
      </c>
    </row>
    <row r="46" ht="18" customHeight="1" s="534">
      <c r="B46" s="237" t="n"/>
      <c r="C46" s="429" t="inlineStr">
        <is>
          <t>High</t>
        </is>
      </c>
      <c r="D46" s="590" t="n">
        <v>280</v>
      </c>
      <c r="E46" s="243" t="n">
        <v>0.07032914287287939</v>
      </c>
      <c r="F46" s="243" t="n">
        <v>0.1013210639379027</v>
      </c>
      <c r="G46" s="244" t="n">
        <v>1.3</v>
      </c>
      <c r="H46" s="244" t="n">
        <v>3.978443508552941</v>
      </c>
      <c r="I46" s="243" t="n">
        <v>-0.02740236218872028</v>
      </c>
    </row>
    <row r="47" ht="16.5" customHeight="1" s="534">
      <c r="A47" s="207" t="n"/>
      <c r="B47" s="142" t="n"/>
      <c r="C47" s="428" t="inlineStr">
        <is>
          <t>Bear</t>
        </is>
      </c>
      <c r="D47" s="589" t="n">
        <v>320</v>
      </c>
      <c r="E47" s="239" t="n">
        <v>0.06506639880150189</v>
      </c>
      <c r="F47" s="239" t="n">
        <v>0.08598458026630729</v>
      </c>
      <c r="G47" s="240" t="n">
        <v>1.3</v>
      </c>
      <c r="H47" s="240" t="n">
        <v>3.405726706701553</v>
      </c>
      <c r="I47" s="239" t="n">
        <v>-0.04273884586031573</v>
      </c>
    </row>
    <row r="48" ht="16.5" customHeight="1" s="534">
      <c r="A48" s="207" t="n"/>
      <c r="B48" s="142" t="n"/>
      <c r="C48" s="142" t="n"/>
      <c r="D48" s="142" t="n"/>
      <c r="E48" s="142" t="n"/>
      <c r="F48" s="142" t="n"/>
      <c r="G48" s="142" t="n"/>
      <c r="H48" s="142" t="n"/>
      <c r="I48" s="142" t="n"/>
      <c r="J48" s="142" t="n"/>
    </row>
    <row r="49" ht="15" customHeight="1" s="534" thickBot="1">
      <c r="A49" s="81" t="n"/>
      <c r="B49" s="82" t="inlineStr">
        <is>
          <t>Sensitivity Table 5 — Interconnection Cost</t>
        </is>
      </c>
      <c r="C49" s="81" t="n"/>
      <c r="D49" s="127" t="n"/>
      <c r="E49" s="127" t="n"/>
      <c r="F49" s="127" t="n"/>
      <c r="G49" s="127" t="n"/>
      <c r="H49" s="127" t="n"/>
      <c r="I49" s="81" t="n"/>
    </row>
    <row r="50" ht="23" customHeight="1" s="534">
      <c r="A50" s="207" t="n"/>
      <c r="B50" s="142" t="n"/>
      <c r="C50" s="518" t="inlineStr">
        <is>
          <t>Scenario</t>
        </is>
      </c>
      <c r="D50" s="518" t="inlineStr">
        <is>
          <t>Interconnection Cost ($M)</t>
        </is>
      </c>
      <c r="E50" s="518" t="inlineStr">
        <is>
          <t>Project IRR</t>
        </is>
      </c>
      <c r="F50" s="518" t="inlineStr">
        <is>
          <t>Equity IRR</t>
        </is>
      </c>
      <c r="G50" s="518" t="inlineStr">
        <is>
          <t>Min DSCR</t>
        </is>
      </c>
      <c r="H50" s="518" t="inlineStr">
        <is>
          <t>Equity Multiple</t>
        </is>
      </c>
      <c r="I50" s="518" t="inlineStr">
        <is>
          <t>ΔEquity IRR</t>
        </is>
      </c>
    </row>
    <row r="51" ht="16.5" customHeight="1" s="534">
      <c r="A51" s="207" t="n"/>
      <c r="B51" s="142" t="n"/>
      <c r="C51" s="118" t="inlineStr">
        <is>
          <t>Minimal</t>
        </is>
      </c>
      <c r="D51" s="118" t="n">
        <v>5</v>
      </c>
      <c r="E51" s="239" t="n">
        <v>0.08502466088127947</v>
      </c>
      <c r="F51" s="239" t="n">
        <v>0.1348156698451566</v>
      </c>
      <c r="G51" s="240" t="n">
        <v>1.3</v>
      </c>
      <c r="H51" s="240" t="n">
        <v>4.490196395260994</v>
      </c>
      <c r="I51" s="239" t="n">
        <v>0.006092243718533563</v>
      </c>
    </row>
    <row r="52" ht="18" customHeight="1" s="534">
      <c r="A52" s="207" t="n"/>
      <c r="B52" s="216" t="n"/>
      <c r="C52" s="241" t="inlineStr">
        <is>
          <t>Low</t>
        </is>
      </c>
      <c r="D52" s="241" t="n">
        <v>10</v>
      </c>
      <c r="E52" s="243" t="n">
        <v>0.08116478191448429</v>
      </c>
      <c r="F52" s="243" t="n">
        <v>0.1220263998232443</v>
      </c>
      <c r="G52" s="244" t="n">
        <v>1.3</v>
      </c>
      <c r="H52" s="244" t="n">
        <v>4.093452727192758</v>
      </c>
      <c r="I52" s="243" t="n">
        <v>-0.006697026303378761</v>
      </c>
    </row>
    <row r="53" ht="16.5" customHeight="1" s="534">
      <c r="A53" s="207" t="n"/>
      <c r="B53" s="142" t="n"/>
      <c r="C53" s="120" t="inlineStr">
        <is>
          <t>Base</t>
        </is>
      </c>
      <c r="D53" s="120" t="n">
        <v>15</v>
      </c>
      <c r="E53" s="126" t="n">
        <v>0.07749320138645488</v>
      </c>
      <c r="F53" s="126" t="n">
        <v>0.128723426126623</v>
      </c>
      <c r="G53" s="122" t="n">
        <v>1.3</v>
      </c>
      <c r="H53" s="122" t="n">
        <v>5.063051128519211</v>
      </c>
      <c r="I53" s="126" t="n">
        <v>0</v>
      </c>
    </row>
    <row r="54" ht="16.5" customHeight="1" s="534">
      <c r="B54" s="237" t="n"/>
      <c r="C54" s="241" t="inlineStr">
        <is>
          <t>High</t>
        </is>
      </c>
      <c r="D54" s="241" t="n">
        <v>25</v>
      </c>
      <c r="E54" s="243" t="n">
        <v>0.07065484049677129</v>
      </c>
      <c r="F54" s="243" t="n">
        <v>0.1023808202161625</v>
      </c>
      <c r="G54" s="244" t="n">
        <v>1.3</v>
      </c>
      <c r="H54" s="244" t="n">
        <v>4.019031141991914</v>
      </c>
      <c r="I54" s="243" t="n">
        <v>-0.02634260591046056</v>
      </c>
    </row>
    <row r="55" ht="16.5" customHeight="1" s="534">
      <c r="A55" s="207" t="n"/>
      <c r="B55" s="142" t="n"/>
      <c r="C55" s="118" t="inlineStr">
        <is>
          <t>Severe</t>
        </is>
      </c>
      <c r="D55" s="118" t="n">
        <v>40</v>
      </c>
      <c r="E55" s="239" t="n">
        <v>0.06147383366269521</v>
      </c>
      <c r="F55" s="239" t="n">
        <v>0.07705415450694963</v>
      </c>
      <c r="G55" s="240" t="n">
        <v>1.3</v>
      </c>
      <c r="H55" s="240" t="n">
        <v>3.087570947380157</v>
      </c>
      <c r="I55" s="239" t="n">
        <v>-0.05166927161967338</v>
      </c>
    </row>
    <row r="56" ht="16.5" customHeight="1" s="534">
      <c r="A56" s="207" t="n"/>
      <c r="B56" s="142" t="n"/>
      <c r="C56" s="142" t="n"/>
      <c r="D56" s="142" t="n"/>
      <c r="E56" s="142" t="n"/>
      <c r="F56" s="142" t="n"/>
      <c r="G56" s="142" t="n"/>
      <c r="H56" s="142" t="n"/>
      <c r="I56" s="142" t="n"/>
    </row>
    <row r="57" ht="15" customHeight="1" s="534" thickBot="1">
      <c r="A57" s="81" t="n"/>
      <c r="B57" s="82" t="inlineStr">
        <is>
          <t>Sensitivity Table 6 — Merchant Price (Post-PPA)</t>
        </is>
      </c>
      <c r="C57" s="81" t="n"/>
      <c r="D57" s="127" t="n"/>
      <c r="E57" s="127" t="n"/>
      <c r="F57" s="127" t="n"/>
      <c r="G57" s="127" t="n"/>
      <c r="H57" s="127" t="n"/>
      <c r="I57" s="81" t="n"/>
    </row>
    <row r="58" ht="23" customHeight="1" s="534">
      <c r="A58" s="207" t="n"/>
      <c r="B58" s="142" t="n"/>
      <c r="C58" s="518" t="inlineStr">
        <is>
          <t>Scenario</t>
        </is>
      </c>
      <c r="D58" s="518" t="inlineStr">
        <is>
          <t>Merchant Price ($/MWh)</t>
        </is>
      </c>
      <c r="E58" s="518" t="inlineStr">
        <is>
          <t>Project IRR</t>
        </is>
      </c>
      <c r="F58" s="518" t="inlineStr">
        <is>
          <t>Equity IRR</t>
        </is>
      </c>
      <c r="G58" s="518" t="inlineStr">
        <is>
          <t>Min DSCR</t>
        </is>
      </c>
      <c r="H58" s="518" t="inlineStr">
        <is>
          <t>Equity Multiple</t>
        </is>
      </c>
      <c r="I58" s="518" t="inlineStr">
        <is>
          <t>ΔEquity IRR</t>
        </is>
      </c>
    </row>
    <row r="59" ht="16.5" customHeight="1" s="534">
      <c r="A59" s="207" t="n"/>
      <c r="B59" s="142" t="n"/>
      <c r="C59" s="118" t="inlineStr">
        <is>
          <t>Bear</t>
        </is>
      </c>
      <c r="D59" s="589" t="n">
        <v>20</v>
      </c>
      <c r="E59" s="239" t="n">
        <v>0.07384052654395323</v>
      </c>
      <c r="F59" s="239" t="n">
        <v>0.1232099459483831</v>
      </c>
      <c r="G59" s="240" t="n">
        <v>1.3</v>
      </c>
      <c r="H59" s="240" t="n">
        <v>4.209587445805607</v>
      </c>
      <c r="I59" s="239" t="n">
        <v>-0.005513480178239938</v>
      </c>
    </row>
    <row r="60" ht="18" customHeight="1" s="534">
      <c r="A60" s="207" t="n"/>
      <c r="B60" s="216" t="n"/>
      <c r="C60" s="241" t="inlineStr">
        <is>
          <t>Low</t>
        </is>
      </c>
      <c r="D60" s="590" t="n">
        <v>28</v>
      </c>
      <c r="E60" s="243" t="n">
        <v>0.07584219486506072</v>
      </c>
      <c r="F60" s="243" t="n">
        <v>0.1262605899014118</v>
      </c>
      <c r="G60" s="244" t="n">
        <v>1.3</v>
      </c>
      <c r="H60" s="244" t="n">
        <v>4.664768076586196</v>
      </c>
      <c r="I60" s="243" t="n">
        <v>-0.002462836225211262</v>
      </c>
    </row>
    <row r="61" ht="16.5" customHeight="1" s="534">
      <c r="A61" s="207" t="n"/>
      <c r="B61" s="142" t="n"/>
      <c r="C61" s="120" t="inlineStr">
        <is>
          <t>Base</t>
        </is>
      </c>
      <c r="D61" s="591" t="n">
        <v>35</v>
      </c>
      <c r="E61" s="126" t="n">
        <v>0.07749320138645488</v>
      </c>
      <c r="F61" s="126" t="n">
        <v>0.128723426126623</v>
      </c>
      <c r="G61" s="122" t="n">
        <v>1.3</v>
      </c>
      <c r="H61" s="122" t="n">
        <v>5.063051128519211</v>
      </c>
      <c r="I61" s="126" t="n">
        <v>0</v>
      </c>
    </row>
    <row r="62" ht="16.5" customHeight="1" s="534">
      <c r="B62" s="237" t="n"/>
      <c r="C62" s="241" t="inlineStr">
        <is>
          <t>High</t>
        </is>
      </c>
      <c r="D62" s="590" t="n">
        <v>42</v>
      </c>
      <c r="E62" s="243" t="n">
        <v>0.07906143848772174</v>
      </c>
      <c r="F62" s="243" t="n">
        <v>0.1310231263014623</v>
      </c>
      <c r="G62" s="244" t="n">
        <v>1.3</v>
      </c>
      <c r="H62" s="244" t="n">
        <v>5.461334180452226</v>
      </c>
      <c r="I62" s="243" t="n">
        <v>0.00229970017483927</v>
      </c>
    </row>
    <row r="63" ht="16.5" customHeight="1" s="534">
      <c r="A63" s="207" t="n"/>
      <c r="B63" s="142" t="n"/>
      <c r="C63" s="118" t="inlineStr">
        <is>
          <t>Bull</t>
        </is>
      </c>
      <c r="D63" s="589" t="n">
        <v>50</v>
      </c>
      <c r="E63" s="239" t="n">
        <v>0.08076344713312156</v>
      </c>
      <c r="F63" s="239" t="n">
        <v>0.1334796638145093</v>
      </c>
      <c r="G63" s="240" t="n">
        <v>1.3</v>
      </c>
      <c r="H63" s="240" t="n">
        <v>5.916514811232815</v>
      </c>
      <c r="I63" s="239" t="n">
        <v>0.004756237687886244</v>
      </c>
    </row>
    <row r="64" ht="16.5" customHeight="1" s="534">
      <c r="A64" s="207" t="n"/>
      <c r="B64" s="142" t="n"/>
      <c r="C64" s="142" t="n"/>
      <c r="D64" s="142" t="n"/>
      <c r="E64" s="142" t="n"/>
      <c r="F64" s="142" t="n"/>
      <c r="G64" s="142" t="n"/>
      <c r="H64" s="142" t="n"/>
      <c r="I64" s="142" t="n"/>
    </row>
    <row r="65" ht="15" customHeight="1" s="534" thickBot="1">
      <c r="A65" s="81" t="n"/>
      <c r="B65" s="82" t="inlineStr">
        <is>
          <t>Sensitivity Table 7 — Debt Interest Rate</t>
        </is>
      </c>
      <c r="C65" s="81" t="n"/>
      <c r="D65" s="127" t="n"/>
      <c r="E65" s="127" t="n"/>
      <c r="F65" s="127" t="n"/>
      <c r="G65" s="127" t="n"/>
      <c r="H65" s="127" t="n"/>
      <c r="I65" s="81" t="n"/>
    </row>
    <row r="66" ht="23" customHeight="1" s="534">
      <c r="A66" s="207" t="n"/>
      <c r="B66" s="142" t="n"/>
      <c r="C66" s="518" t="inlineStr">
        <is>
          <t>Scenario</t>
        </is>
      </c>
      <c r="D66" s="518" t="inlineStr">
        <is>
          <t>Interest Rate (%)</t>
        </is>
      </c>
      <c r="E66" s="518" t="inlineStr">
        <is>
          <t>Project IRR</t>
        </is>
      </c>
      <c r="F66" s="518" t="inlineStr">
        <is>
          <t>Equity IRR</t>
        </is>
      </c>
      <c r="G66" s="518" t="inlineStr">
        <is>
          <t>Min DSCR</t>
        </is>
      </c>
      <c r="H66" s="518" t="inlineStr">
        <is>
          <t>Equity Multiple</t>
        </is>
      </c>
      <c r="I66" s="518" t="inlineStr">
        <is>
          <t>ΔEquity IRR</t>
        </is>
      </c>
    </row>
    <row r="67" ht="16.5" customHeight="1" s="534">
      <c r="A67" s="207" t="n"/>
      <c r="B67" s="142" t="n"/>
      <c r="C67" s="118" t="inlineStr">
        <is>
          <t>Bull</t>
        </is>
      </c>
      <c r="D67" s="239" t="n">
        <v>0.055</v>
      </c>
      <c r="E67" s="239" t="n">
        <v>0.07749320138645488</v>
      </c>
      <c r="F67" s="239" t="n">
        <v>0.1432968944425517</v>
      </c>
      <c r="G67" s="240" t="n">
        <v>1.3</v>
      </c>
      <c r="H67" s="240" t="n">
        <v>4.748593435682239</v>
      </c>
      <c r="I67" s="239" t="n">
        <v>0.01457346831592865</v>
      </c>
    </row>
    <row r="68" ht="18" customHeight="1" s="534">
      <c r="A68" s="207" t="n"/>
      <c r="B68" s="216" t="n"/>
      <c r="C68" s="241" t="inlineStr">
        <is>
          <t>Low</t>
        </is>
      </c>
      <c r="D68" s="243" t="n">
        <v>0.06</v>
      </c>
      <c r="E68" s="243" t="n">
        <v>0.07749320138645488</v>
      </c>
      <c r="F68" s="243" t="n">
        <v>0.1302885950513788</v>
      </c>
      <c r="G68" s="244" t="n">
        <v>1.3</v>
      </c>
      <c r="H68" s="244" t="n">
        <v>4.345224945212613</v>
      </c>
      <c r="I68" s="243" t="n">
        <v>0.001565168924755778</v>
      </c>
    </row>
    <row r="69" ht="16.5" customHeight="1" s="534">
      <c r="A69" s="207" t="n"/>
      <c r="B69" s="142" t="n"/>
      <c r="C69" s="120" t="inlineStr">
        <is>
          <t>Base</t>
        </is>
      </c>
      <c r="D69" s="126" t="n">
        <v>0.07000000000000001</v>
      </c>
      <c r="E69" s="126" t="n">
        <v>0.07749320138645488</v>
      </c>
      <c r="F69" s="126" t="n">
        <v>0.128723426126623</v>
      </c>
      <c r="G69" s="122" t="n">
        <v>1.3</v>
      </c>
      <c r="H69" s="122" t="n">
        <v>5.063051128519211</v>
      </c>
      <c r="I69" s="126" t="n">
        <v>0</v>
      </c>
    </row>
    <row r="70" ht="18" customHeight="1" s="534">
      <c r="B70" s="237" t="n"/>
      <c r="C70" s="241" t="inlineStr">
        <is>
          <t>High</t>
        </is>
      </c>
      <c r="D70" s="243" t="n">
        <v>0.08</v>
      </c>
      <c r="E70" s="243" t="n">
        <v>0.07749320138645488</v>
      </c>
      <c r="F70" s="243" t="n">
        <v>0.1045953790365912</v>
      </c>
      <c r="G70" s="244" t="n">
        <v>1.3</v>
      </c>
      <c r="H70" s="244" t="n">
        <v>4.105247371014303</v>
      </c>
      <c r="I70" s="243" t="n">
        <v>-0.0241280470900318</v>
      </c>
    </row>
    <row r="71" ht="16.5" customHeight="1" s="534">
      <c r="A71" s="207" t="n"/>
      <c r="B71" s="142" t="n"/>
      <c r="C71" s="118" t="inlineStr">
        <is>
          <t>Bear</t>
        </is>
      </c>
      <c r="D71" s="239" t="n">
        <v>0.09</v>
      </c>
      <c r="E71" s="239" t="n">
        <v>0.07749320138645488</v>
      </c>
      <c r="F71" s="239" t="n">
        <v>0.0890715325000393</v>
      </c>
      <c r="G71" s="240" t="n">
        <v>1.3</v>
      </c>
      <c r="H71" s="240" t="n">
        <v>3.519047501960719</v>
      </c>
      <c r="I71" s="239" t="n">
        <v>-0.03965189362658372</v>
      </c>
    </row>
    <row r="72" ht="16.5" customHeight="1" s="534">
      <c r="A72" s="207" t="n"/>
      <c r="B72" s="142" t="n"/>
      <c r="C72" s="142" t="n"/>
      <c r="D72" s="142" t="n"/>
      <c r="E72" s="142" t="n"/>
      <c r="F72" s="142" t="n"/>
      <c r="G72" s="142" t="n"/>
      <c r="H72" s="142" t="n"/>
      <c r="I72" s="142" t="n"/>
    </row>
    <row r="73" ht="19.5" customHeight="1" s="534" thickBot="1">
      <c r="A73" s="81" t="n"/>
      <c r="B73" s="82" t="inlineStr">
        <is>
          <t>Sensitivity Table 8 — BESS Cycles Per Day</t>
        </is>
      </c>
      <c r="C73" s="81" t="n"/>
      <c r="D73" s="127" t="n"/>
      <c r="E73" s="127" t="n"/>
      <c r="F73" s="127" t="n"/>
      <c r="G73" s="127" t="n"/>
      <c r="H73" s="127" t="n"/>
      <c r="I73" s="81" t="n"/>
    </row>
    <row r="74">
      <c r="A74" s="207" t="n"/>
      <c r="B74" s="142" t="n"/>
      <c r="C74" s="518" t="inlineStr">
        <is>
          <t>Scenario</t>
        </is>
      </c>
      <c r="D74" s="518" t="inlineStr">
        <is>
          <t>Cycles/Day</t>
        </is>
      </c>
      <c r="E74" s="518" t="inlineStr">
        <is>
          <t>Project IRR</t>
        </is>
      </c>
      <c r="F74" s="518" t="inlineStr">
        <is>
          <t>Equity IRR</t>
        </is>
      </c>
      <c r="G74" s="518" t="inlineStr">
        <is>
          <t>Min DSCR</t>
        </is>
      </c>
      <c r="H74" s="518" t="inlineStr">
        <is>
          <t>Equity Multiple</t>
        </is>
      </c>
      <c r="I74" s="518" t="inlineStr">
        <is>
          <t>ΔEquity IRR</t>
        </is>
      </c>
    </row>
    <row r="75" ht="16.5" customHeight="1" s="534">
      <c r="A75" s="207" t="n"/>
      <c r="B75" s="142" t="n"/>
      <c r="C75" s="118" t="inlineStr">
        <is>
          <t>Bear</t>
        </is>
      </c>
      <c r="D75" s="118" t="n">
        <v>1</v>
      </c>
      <c r="E75" s="239" t="n">
        <v>0.0732731259405166</v>
      </c>
      <c r="F75" s="239" t="n">
        <v>0.1119322526333668</v>
      </c>
      <c r="G75" s="240" t="n">
        <v>1.3</v>
      </c>
      <c r="H75" s="240" t="n">
        <v>4.389379515793159</v>
      </c>
      <c r="I75" s="239" t="n">
        <v>-0.01679117349325621</v>
      </c>
    </row>
    <row r="76" ht="18" customHeight="1" s="534">
      <c r="A76" s="207" t="n"/>
      <c r="B76" s="216" t="n"/>
      <c r="C76" s="241" t="inlineStr">
        <is>
          <t>Low</t>
        </is>
      </c>
      <c r="D76" s="241" t="n">
        <v>1.1</v>
      </c>
      <c r="E76" s="243" t="n">
        <v>0.07468625285959041</v>
      </c>
      <c r="F76" s="243" t="n">
        <v>0.1171897888544762</v>
      </c>
      <c r="G76" s="244" t="n">
        <v>1.3</v>
      </c>
      <c r="H76" s="244" t="n">
        <v>4.598330995501883</v>
      </c>
      <c r="I76" s="243" t="n">
        <v>-0.01153363727214685</v>
      </c>
    </row>
    <row r="77" ht="16.5" customHeight="1" s="534">
      <c r="A77" s="207" t="n"/>
      <c r="B77" s="142" t="n"/>
      <c r="C77" s="120" t="inlineStr">
        <is>
          <t>Base</t>
        </is>
      </c>
      <c r="D77" s="120" t="n">
        <v>1.3</v>
      </c>
      <c r="E77" s="126" t="n">
        <v>0.07749320138645488</v>
      </c>
      <c r="F77" s="126" t="n">
        <v>0.128723426126623</v>
      </c>
      <c r="G77" s="122" t="n">
        <v>1.3</v>
      </c>
      <c r="H77" s="122" t="n">
        <v>5.063051128519211</v>
      </c>
      <c r="I77" s="126" t="n">
        <v>0</v>
      </c>
    </row>
    <row r="78" ht="16.5" customHeight="1" s="534">
      <c r="B78" s="237" t="n"/>
      <c r="C78" s="241" t="inlineStr">
        <is>
          <t>High</t>
        </is>
      </c>
      <c r="D78" s="241" t="n">
        <v>1.5</v>
      </c>
      <c r="E78" s="243" t="n">
        <v>0.0802759199019385</v>
      </c>
      <c r="F78" s="243" t="n">
        <v>0.1190665679247889</v>
      </c>
      <c r="G78" s="244" t="n">
        <v>1.3</v>
      </c>
      <c r="H78" s="244" t="n">
        <v>4.006587950336298</v>
      </c>
      <c r="I78" s="243" t="n">
        <v>-0.009656858201834151</v>
      </c>
    </row>
    <row r="79" ht="16.5" customHeight="1" s="534">
      <c r="B79" s="237" t="n"/>
      <c r="C79" s="118" t="inlineStr">
        <is>
          <t>Bull</t>
        </is>
      </c>
      <c r="D79" s="118" t="n">
        <v>1.7</v>
      </c>
      <c r="E79" s="239" t="n">
        <v>0.083036090636468</v>
      </c>
      <c r="F79" s="239" t="n">
        <v>0.1274501207291099</v>
      </c>
      <c r="G79" s="240" t="n">
        <v>1.3</v>
      </c>
      <c r="H79" s="240" t="n">
        <v>4.269949213542452</v>
      </c>
      <c r="I79" s="239" t="n">
        <v>-0.001273305397513136</v>
      </c>
    </row>
    <row r="80" ht="16.5" customHeight="1" s="534">
      <c r="A80" s="207" t="n"/>
      <c r="B80" s="142" t="n"/>
      <c r="C80" s="142" t="n"/>
      <c r="D80" s="142" t="n"/>
      <c r="E80" s="142" t="n"/>
      <c r="F80" s="142" t="n"/>
      <c r="G80" s="142" t="n"/>
      <c r="H80" s="142" t="n"/>
      <c r="I80" s="142" t="n"/>
    </row>
    <row r="81" ht="15" customHeight="1" s="534" thickBot="1">
      <c r="A81" s="81" t="n"/>
      <c r="B81" s="82" t="inlineStr">
        <is>
          <t>Sensitivity Table 9 — RA Accreditation</t>
        </is>
      </c>
      <c r="C81" s="81" t="n"/>
      <c r="D81" s="127" t="n"/>
      <c r="E81" s="127" t="n"/>
      <c r="F81" s="127" t="n"/>
      <c r="G81" s="127" t="n"/>
      <c r="H81" s="127" t="n"/>
      <c r="I81" s="127" t="n"/>
      <c r="J81" s="81" t="n"/>
    </row>
    <row r="82" ht="23" customHeight="1" s="534">
      <c r="A82" s="207" t="n"/>
      <c r="B82" s="142" t="n"/>
      <c r="C82" s="518" t="inlineStr">
        <is>
          <t>Scenario</t>
        </is>
      </c>
      <c r="D82" s="518" t="inlineStr">
        <is>
          <t>Accredited Capacity (MW)</t>
        </is>
      </c>
      <c r="E82" s="518" t="inlineStr">
        <is>
          <t>% of Nameplate</t>
        </is>
      </c>
      <c r="F82" s="518" t="inlineStr">
        <is>
          <t>Project IRR</t>
        </is>
      </c>
      <c r="G82" s="518" t="inlineStr">
        <is>
          <t>Equity IRR</t>
        </is>
      </c>
      <c r="H82" s="518" t="inlineStr">
        <is>
          <t>Min DSCR</t>
        </is>
      </c>
      <c r="I82" s="518" t="inlineStr">
        <is>
          <t>Equity Multiple</t>
        </is>
      </c>
      <c r="J82" s="518" t="inlineStr">
        <is>
          <t>ΔEquity IRR</t>
        </is>
      </c>
    </row>
    <row r="83" ht="16.5" customHeight="1" s="534">
      <c r="A83" s="207" t="n"/>
      <c r="B83" s="142" t="n"/>
      <c r="C83" s="173" t="inlineStr">
        <is>
          <t>Severe haircut</t>
        </is>
      </c>
      <c r="D83" s="173" t="n">
        <v>27</v>
      </c>
      <c r="E83" s="245" t="n">
        <v>0.54</v>
      </c>
      <c r="F83" s="245" t="n">
        <v>0.06180460059225434</v>
      </c>
      <c r="G83" s="245" t="n">
        <v>0.078675785874599</v>
      </c>
      <c r="H83" s="246" t="n">
        <v>1.3</v>
      </c>
      <c r="I83" s="246" t="n">
        <v>2.916422013145723</v>
      </c>
      <c r="J83" s="245" t="n">
        <v>-0.05004764025202402</v>
      </c>
    </row>
    <row r="84" ht="18" customHeight="1" s="534">
      <c r="A84" s="207" t="n"/>
      <c r="B84" s="216" t="n"/>
      <c r="C84" s="110" t="inlineStr">
        <is>
          <t>Moderate haircut</t>
        </is>
      </c>
      <c r="D84" s="110" t="n">
        <v>36</v>
      </c>
      <c r="E84" s="113" t="n">
        <v>0.72</v>
      </c>
      <c r="F84" s="113" t="n">
        <v>0.06986200955092747</v>
      </c>
      <c r="G84" s="113" t="n">
        <v>0.1004726242724583</v>
      </c>
      <c r="H84" s="117" t="n">
        <v>1.3</v>
      </c>
      <c r="I84" s="117" t="n">
        <v>3.778251484332979</v>
      </c>
      <c r="J84" s="113" t="n">
        <v>-0.02825080185416473</v>
      </c>
    </row>
    <row r="85" ht="16.5" customHeight="1" s="534">
      <c r="A85" s="207" t="n"/>
      <c r="B85" s="142" t="n"/>
      <c r="C85" s="120" t="inlineStr">
        <is>
          <t>Base</t>
        </is>
      </c>
      <c r="D85" s="120" t="n">
        <v>45</v>
      </c>
      <c r="E85" s="126" t="n">
        <v>0.9</v>
      </c>
      <c r="F85" s="126" t="n">
        <v>0.07749320138645488</v>
      </c>
      <c r="G85" s="126" t="n">
        <v>0.128723426126623</v>
      </c>
      <c r="H85" s="122" t="n">
        <v>1.3</v>
      </c>
      <c r="I85" s="122" t="n">
        <v>5.063051128519211</v>
      </c>
      <c r="J85" s="126" t="n">
        <v>0</v>
      </c>
    </row>
    <row r="86" ht="16.5" customHeight="1" s="534">
      <c r="B86" s="237" t="n"/>
      <c r="C86" s="110" t="inlineStr">
        <is>
          <t>Upside</t>
        </is>
      </c>
      <c r="D86" s="110" t="n">
        <v>48</v>
      </c>
      <c r="E86" s="113" t="n">
        <v>0.96</v>
      </c>
      <c r="F86" s="113" t="n">
        <v>0.07995761865619322</v>
      </c>
      <c r="G86" s="113" t="n">
        <v>0.1182058761223541</v>
      </c>
      <c r="H86" s="117" t="n">
        <v>1.3</v>
      </c>
      <c r="I86" s="117" t="n">
        <v>4.021898506564645</v>
      </c>
      <c r="J86" s="113" t="n">
        <v>-0.01051755000426891</v>
      </c>
    </row>
    <row r="87" ht="16.5" customHeight="1" s="534">
      <c r="A87" s="207" t="n"/>
      <c r="B87" s="142" t="n"/>
      <c r="C87" s="142" t="n"/>
      <c r="D87" s="142" t="n"/>
      <c r="E87" s="142" t="n"/>
      <c r="F87" s="142" t="n"/>
      <c r="G87" s="142" t="n"/>
      <c r="H87" s="142" t="n"/>
      <c r="I87" s="142" t="n"/>
      <c r="J87" s="142" t="n"/>
    </row>
    <row r="88">
      <c r="A88" s="81" t="n"/>
      <c r="B88" s="82" t="inlineStr">
        <is>
          <t>Sensitivity Table 10 — Curtailment Rate</t>
        </is>
      </c>
      <c r="C88" s="81" t="n"/>
      <c r="D88" s="127" t="n"/>
      <c r="E88" s="127" t="n"/>
      <c r="F88" s="127" t="n"/>
      <c r="G88" s="127" t="n"/>
      <c r="H88" s="127" t="n"/>
      <c r="I88" s="81" t="n"/>
    </row>
    <row r="89" ht="23" customHeight="1" s="534">
      <c r="A89" s="207" t="n"/>
      <c r="B89" s="142" t="n"/>
      <c r="C89" s="518" t="inlineStr">
        <is>
          <t>Scenario</t>
        </is>
      </c>
      <c r="D89" s="518" t="inlineStr">
        <is>
          <t>Curtailment Rate (%)</t>
        </is>
      </c>
      <c r="E89" s="518" t="inlineStr">
        <is>
          <t>Project IRR</t>
        </is>
      </c>
      <c r="F89" s="518" t="inlineStr">
        <is>
          <t>Equity IRR</t>
        </is>
      </c>
      <c r="G89" s="518" t="inlineStr">
        <is>
          <t>Min DSCR</t>
        </is>
      </c>
      <c r="H89" s="518" t="inlineStr">
        <is>
          <t>Equity Multiple</t>
        </is>
      </c>
      <c r="I89" s="518" t="inlineStr">
        <is>
          <t>ΔEquity IRR</t>
        </is>
      </c>
    </row>
    <row r="90" ht="18" customHeight="1" s="534">
      <c r="A90" s="207" t="n"/>
      <c r="B90" s="142" t="n"/>
      <c r="C90" s="241" t="inlineStr">
        <is>
          <t>Low</t>
        </is>
      </c>
      <c r="D90" s="248" t="n">
        <v>0.02</v>
      </c>
      <c r="E90" s="243" t="n">
        <v>0.07886817265497137</v>
      </c>
      <c r="F90" s="243" t="n">
        <v>0.115257039975593</v>
      </c>
      <c r="G90" s="244" t="n">
        <v>1.3</v>
      </c>
      <c r="H90" s="244" t="n">
        <v>3.881794015636324</v>
      </c>
      <c r="I90" s="243" t="n">
        <v>-0.01346638615103002</v>
      </c>
    </row>
    <row r="91" ht="16.5" customHeight="1" s="534">
      <c r="A91" s="207" t="n"/>
      <c r="B91" s="216" t="n"/>
      <c r="C91" s="120" t="inlineStr">
        <is>
          <t>Base</t>
        </is>
      </c>
      <c r="D91" s="125" t="n">
        <v>0.04</v>
      </c>
      <c r="E91" s="126" t="n">
        <v>0.07749320138645488</v>
      </c>
      <c r="F91" s="126" t="n">
        <v>0.128723426126623</v>
      </c>
      <c r="G91" s="122" t="n">
        <v>1.3</v>
      </c>
      <c r="H91" s="122" t="n">
        <v>5.063051128519211</v>
      </c>
      <c r="I91" s="126" t="n">
        <v>0</v>
      </c>
    </row>
    <row r="92" ht="16.5" customHeight="1" s="534">
      <c r="A92" s="207" t="n"/>
      <c r="B92" s="142" t="n"/>
      <c r="C92" s="241" t="inlineStr">
        <is>
          <t>High</t>
        </is>
      </c>
      <c r="D92" s="248" t="n">
        <v>0.07000000000000001</v>
      </c>
      <c r="E92" s="243" t="n">
        <v>0.07542500737968516</v>
      </c>
      <c r="F92" s="243" t="n">
        <v>0.1195195473441668</v>
      </c>
      <c r="G92" s="244" t="n">
        <v>1.3</v>
      </c>
      <c r="H92" s="244" t="n">
        <v>4.698125737668719</v>
      </c>
      <c r="I92" s="243" t="n">
        <v>-0.00920387878245621</v>
      </c>
    </row>
    <row r="93" ht="16.5" customHeight="1" s="534">
      <c r="B93" s="237" t="n"/>
      <c r="C93" s="118" t="inlineStr">
        <is>
          <t>Severe</t>
        </is>
      </c>
      <c r="D93" s="247" t="n">
        <v>0.12</v>
      </c>
      <c r="E93" s="239" t="n">
        <v>0.07196217600476063</v>
      </c>
      <c r="F93" s="239" t="n">
        <v>0.1062393332013019</v>
      </c>
      <c r="G93" s="240" t="n">
        <v>1.3</v>
      </c>
      <c r="H93" s="240" t="n">
        <v>4.181890036484885</v>
      </c>
      <c r="I93" s="239" t="n">
        <v>-0.02248409292532116</v>
      </c>
    </row>
    <row r="94" ht="16.5" customHeight="1" s="534">
      <c r="A94" s="207" t="n"/>
      <c r="B94" s="142" t="n"/>
      <c r="C94" s="142" t="n"/>
      <c r="D94" s="142" t="n"/>
      <c r="E94" s="142" t="n"/>
      <c r="F94" s="142" t="n"/>
      <c r="G94" s="142" t="n"/>
      <c r="H94" s="142" t="n"/>
      <c r="I94" s="142" t="n"/>
    </row>
    <row r="95" ht="16.5" customHeight="1" s="534">
      <c r="A95" s="282" t="inlineStr">
        <is>
          <t>Section 3 — Two-Way Sensitivity Tables</t>
        </is>
      </c>
      <c r="B95" s="282" t="n"/>
      <c r="C95" s="282" t="n"/>
      <c r="D95" s="282" t="n"/>
      <c r="E95" s="282" t="n"/>
      <c r="F95" s="282" t="n"/>
      <c r="G95" s="282" t="n"/>
      <c r="H95" s="282" t="n"/>
      <c r="I95" s="282" t="n"/>
    </row>
    <row r="96" ht="18" customHeight="1" s="534">
      <c r="A96" s="128" t="n"/>
      <c r="B96" s="129" t="inlineStr">
        <is>
          <t>Base Case Inputs</t>
        </is>
      </c>
      <c r="C96" s="128" t="n"/>
      <c r="D96" s="128" t="n"/>
      <c r="E96" s="128" t="n"/>
      <c r="F96" s="128" t="n"/>
      <c r="G96" s="128" t="n"/>
      <c r="H96" s="128" t="n"/>
      <c r="I96" s="128" t="n"/>
    </row>
    <row r="97" ht="16.5" customHeight="1" s="534">
      <c r="B97" s="251" t="inlineStr">
        <is>
          <t>PPA Price ($/MWh)</t>
        </is>
      </c>
      <c r="C97" s="257" t="n">
        <v>50</v>
      </c>
    </row>
    <row r="98" ht="16.5" customHeight="1" s="534">
      <c r="B98" s="278" t="inlineStr">
        <is>
          <t>Solar EPC Cost ($/Wdc)</t>
        </is>
      </c>
      <c r="C98" s="270" t="n">
        <v>0.8</v>
      </c>
    </row>
    <row r="99" ht="16.5" customHeight="1" s="534">
      <c r="B99" s="251" t="inlineStr">
        <is>
          <t>Capacity Factor (%)</t>
        </is>
      </c>
      <c r="C99" s="288" t="n">
        <v>0.27</v>
      </c>
    </row>
    <row r="100" ht="16.5" customHeight="1" s="534">
      <c r="B100" s="278" t="inlineStr">
        <is>
          <t>Merchant Price ($/MWh)</t>
        </is>
      </c>
      <c r="C100" s="270" t="n">
        <v>35</v>
      </c>
    </row>
    <row r="101" ht="16.5" customHeight="1" s="534">
      <c r="B101" s="251" t="inlineStr">
        <is>
          <t>BESS EPC Cost ($/kWh)</t>
        </is>
      </c>
      <c r="C101" s="292" t="n">
        <v>230</v>
      </c>
    </row>
    <row r="102" ht="16.5" customHeight="1" s="534">
      <c r="B102" s="278" t="inlineStr">
        <is>
          <t>BESS Cycles Per Day</t>
        </is>
      </c>
      <c r="C102" s="270" t="n">
        <v>1.3</v>
      </c>
    </row>
    <row r="103" ht="16.5" customHeight="1" s="534">
      <c r="B103" s="251" t="inlineStr">
        <is>
          <t>Interest Rate (%)</t>
        </is>
      </c>
      <c r="C103" s="431" t="n">
        <v>0.07000000000000001</v>
      </c>
    </row>
    <row r="104" ht="16.5" customHeight="1" s="534"/>
    <row r="105" ht="19.5" customHeight="1" s="534">
      <c r="A105" s="81" t="n"/>
      <c r="B105" s="364" t="inlineStr">
        <is>
          <t>Two-Way Table 1 — Equity IRR: PPA Price × Solar EPC Cost</t>
        </is>
      </c>
      <c r="C105" s="432" t="n"/>
      <c r="D105" s="432" t="n"/>
      <c r="E105" s="432" t="n"/>
      <c r="F105" s="432" t="n"/>
      <c r="G105" s="432" t="n"/>
      <c r="H105" s="432" t="n"/>
      <c r="I105" s="432" t="n"/>
    </row>
    <row r="106" ht="18" customHeight="1" s="534">
      <c r="D106" s="521" t="inlineStr">
        <is>
          <t>PPA Price ($)</t>
        </is>
      </c>
      <c r="E106" s="147" t="n"/>
      <c r="F106" s="147" t="n"/>
      <c r="G106" s="147" t="n"/>
      <c r="H106" s="147" t="n"/>
      <c r="I106" s="147" t="n"/>
    </row>
    <row r="107" ht="16.5" customHeight="1" s="534">
      <c r="B107" s="433" t="inlineStr">
        <is>
          <t>Equity IRR</t>
        </is>
      </c>
      <c r="C107" s="471" t="n">
        <v>0.128723426126623</v>
      </c>
      <c r="D107" s="468" t="n">
        <v>40</v>
      </c>
      <c r="E107" s="434" t="n">
        <v>45</v>
      </c>
      <c r="F107" s="440" t="n">
        <v>50</v>
      </c>
      <c r="G107" s="434" t="n">
        <v>55</v>
      </c>
      <c r="H107" s="434" t="n">
        <v>60</v>
      </c>
      <c r="I107" s="434" t="n">
        <v>65</v>
      </c>
    </row>
    <row r="108" ht="16.5" customHeight="1" s="534">
      <c r="B108" s="523" t="inlineStr">
        <is>
          <t>Solar EPC Cost ($/Wdc)</t>
        </is>
      </c>
      <c r="C108" s="475" t="n">
        <v>0.75</v>
      </c>
      <c r="D108" s="472" t="n">
        <v>0.07693303490541403</v>
      </c>
      <c r="E108" s="473" t="n">
        <v>0.1054243586324435</v>
      </c>
      <c r="F108" s="473" t="n">
        <v>0.1251334146264742</v>
      </c>
      <c r="G108" s="473" t="n">
        <v>0.1667681798844776</v>
      </c>
      <c r="H108" s="473" t="n">
        <v>0.2339734831835376</v>
      </c>
      <c r="I108" s="474" t="n">
        <v>0.3622456839084789</v>
      </c>
    </row>
    <row r="109" ht="16.5" customHeight="1" s="534">
      <c r="B109" s="592" t="n"/>
      <c r="C109" s="467" t="n">
        <v>0.8</v>
      </c>
      <c r="D109" s="469" t="n">
        <v>0.06839725889551418</v>
      </c>
      <c r="E109" s="250" t="n">
        <v>0.09215710725761417</v>
      </c>
      <c r="F109" s="250" t="n">
        <v>0.128723426126623</v>
      </c>
      <c r="G109" s="250" t="n">
        <v>0.1451035959640699</v>
      </c>
      <c r="H109" s="250" t="n">
        <v>0.1959416029877921</v>
      </c>
      <c r="I109" s="435" t="n">
        <v>0.2825585460792901</v>
      </c>
    </row>
    <row r="110" ht="16.5" customHeight="1" s="534">
      <c r="B110" s="592" t="n"/>
      <c r="C110" s="466" t="n">
        <v>0.9</v>
      </c>
      <c r="D110" s="464" t="n">
        <v>0.05482588694945356</v>
      </c>
      <c r="E110" s="115" t="n">
        <v>0.07261331749577393</v>
      </c>
      <c r="F110" s="115" t="n">
        <v>0.09707287671533793</v>
      </c>
      <c r="G110" s="115" t="n">
        <v>0.1347497403295497</v>
      </c>
      <c r="H110" s="115" t="n">
        <v>0.1474990729679579</v>
      </c>
      <c r="I110" s="436" t="n">
        <v>0.1960929141602359</v>
      </c>
    </row>
    <row r="111" ht="16.5" customHeight="1" s="534" thickBot="1">
      <c r="B111" s="593" t="n"/>
      <c r="C111" s="466" t="n">
        <v>1.1</v>
      </c>
      <c r="D111" s="470" t="n">
        <v>0.0359121296835978</v>
      </c>
      <c r="E111" s="437" t="n">
        <v>0.04766700504425381</v>
      </c>
      <c r="F111" s="438" t="n">
        <v>0.06219648663662003</v>
      </c>
      <c r="G111" s="437" t="n">
        <v>0.08092125766100366</v>
      </c>
      <c r="H111" s="437" t="n">
        <v>0.1067286974072497</v>
      </c>
      <c r="I111" s="439" t="n">
        <v>0.1202014493080623</v>
      </c>
    </row>
    <row r="112" ht="16.5" customHeight="1" s="534"/>
    <row r="113" ht="16.5" customHeight="1" s="534"/>
    <row r="114" ht="19.5" customHeight="1" s="534">
      <c r="A114" s="432" t="n"/>
      <c r="B114" s="364" t="inlineStr">
        <is>
          <t>Two-Way Table 2 — Equity IRR: Capacity Factor × Merchant Price</t>
        </is>
      </c>
      <c r="C114" s="432" t="n"/>
      <c r="D114" s="81" t="n"/>
      <c r="E114" s="81" t="n"/>
      <c r="F114" s="81" t="n"/>
      <c r="G114" s="81" t="n"/>
      <c r="H114" s="81" t="n"/>
    </row>
    <row r="115" ht="18" customHeight="1" s="534">
      <c r="D115" s="517" t="inlineStr">
        <is>
          <t>Capacity Factor (%)</t>
        </is>
      </c>
      <c r="E115" s="594" t="n"/>
      <c r="F115" s="594" t="n"/>
      <c r="G115" s="594" t="n"/>
      <c r="H115" s="594" t="n"/>
    </row>
    <row r="116" ht="16.5" customHeight="1" s="534">
      <c r="B116" s="433" t="inlineStr">
        <is>
          <t>Equity IRR</t>
        </is>
      </c>
      <c r="C116" s="471" t="n">
        <v>0.128723426126623</v>
      </c>
      <c r="D116" s="476" t="n">
        <v>0.22</v>
      </c>
      <c r="E116" s="477" t="n">
        <v>0.24</v>
      </c>
      <c r="F116" s="478" t="n">
        <v>0.27</v>
      </c>
      <c r="G116" s="477" t="n">
        <v>0.3</v>
      </c>
      <c r="H116" s="477" t="n">
        <v>0.32</v>
      </c>
    </row>
    <row r="117" ht="16.5" customHeight="1" s="534">
      <c r="B117" s="516" t="inlineStr">
        <is>
          <t>Merchant Price ($/MWh)</t>
        </is>
      </c>
      <c r="C117" s="479" t="n">
        <v>20</v>
      </c>
      <c r="D117" s="472" t="n">
        <v>0.05968784102278279</v>
      </c>
      <c r="E117" s="473" t="n">
        <v>0.0797150458143292</v>
      </c>
      <c r="F117" s="473" t="n">
        <v>0.1232099459483831</v>
      </c>
      <c r="G117" s="473" t="n">
        <v>0.1476165240916809</v>
      </c>
      <c r="H117" s="473" t="n">
        <v>0.1868274220649511</v>
      </c>
    </row>
    <row r="118" ht="16.5" customHeight="1" s="534">
      <c r="B118" s="592" t="n"/>
      <c r="C118" s="462" t="n">
        <v>28</v>
      </c>
      <c r="D118" s="465" t="n">
        <v>0.06396071573158557</v>
      </c>
      <c r="E118" s="114" t="n">
        <v>0.08364821702569003</v>
      </c>
      <c r="F118" s="114" t="n">
        <v>0.1262605899014118</v>
      </c>
      <c r="G118" s="114" t="n">
        <v>0.149584726348666</v>
      </c>
      <c r="H118" s="114" t="n">
        <v>0.188190199768425</v>
      </c>
    </row>
    <row r="119" ht="16.5" customHeight="1" s="534">
      <c r="B119" s="592" t="n"/>
      <c r="C119" s="463" t="n">
        <v>35</v>
      </c>
      <c r="D119" s="464" t="n">
        <v>0.06731257110569167</v>
      </c>
      <c r="E119" s="115" t="n">
        <v>0.08675740170291246</v>
      </c>
      <c r="F119" s="115" t="n">
        <v>0.128723426126623</v>
      </c>
      <c r="G119" s="115" t="n">
        <v>0.1512150249923145</v>
      </c>
      <c r="H119" s="115" t="n">
        <v>0.1893378236882479</v>
      </c>
    </row>
    <row r="120" ht="16.5" customHeight="1" s="534">
      <c r="B120" s="592" t="n"/>
      <c r="C120" s="462" t="n">
        <v>42</v>
      </c>
      <c r="D120" s="465" t="n">
        <v>0.07037478797330188</v>
      </c>
      <c r="E120" s="114" t="n">
        <v>0.08961422344100889</v>
      </c>
      <c r="F120" s="114" t="n">
        <v>0.1310231263014623</v>
      </c>
      <c r="G120" s="114" t="n">
        <v>0.1527689747145766</v>
      </c>
      <c r="H120" s="114" t="n">
        <v>0.1904469343625925</v>
      </c>
    </row>
    <row r="121" ht="16.5" customHeight="1" s="534">
      <c r="B121" s="595" t="n"/>
      <c r="C121" s="462" t="n">
        <v>50</v>
      </c>
      <c r="D121" s="464" t="n">
        <v>0.07357920574457699</v>
      </c>
      <c r="E121" s="115" t="n">
        <v>0.09262199260872372</v>
      </c>
      <c r="F121" s="115" t="n">
        <v>0.1334796638145093</v>
      </c>
      <c r="G121" s="115" t="n">
        <v>0.1544610403093283</v>
      </c>
      <c r="H121" s="115" t="n">
        <v>0.1916708866599337</v>
      </c>
    </row>
    <row r="122" ht="16.5" customHeight="1" s="534"/>
    <row r="123" ht="16.5" customHeight="1" s="534"/>
    <row r="124" ht="19.5" customHeight="1" s="534">
      <c r="A124" s="432" t="n"/>
      <c r="B124" s="364" t="inlineStr">
        <is>
          <t>Two-Way Table 3 — Equity IRR: BESS EPC Cost × BESS Cycles Per Day</t>
        </is>
      </c>
      <c r="C124" s="432" t="n"/>
      <c r="D124" s="81" t="n"/>
      <c r="E124" s="81" t="n"/>
      <c r="F124" s="81" t="n"/>
      <c r="G124" s="81" t="n"/>
      <c r="H124" s="81" t="n"/>
    </row>
    <row r="125" ht="18" customHeight="1" s="534">
      <c r="D125" s="517" t="inlineStr">
        <is>
          <t>BESS EPC Cost ($/kWh)</t>
        </is>
      </c>
      <c r="E125" s="594" t="n"/>
      <c r="F125" s="594" t="n"/>
      <c r="G125" s="594" t="n"/>
      <c r="H125" s="594" t="n"/>
    </row>
    <row r="126" ht="16.5" customHeight="1" s="534">
      <c r="B126" s="453" t="inlineStr">
        <is>
          <t>Equity IRR</t>
        </is>
      </c>
      <c r="C126" s="455" t="n">
        <v>0.128723426126623</v>
      </c>
      <c r="D126" s="468" t="n">
        <v>200</v>
      </c>
      <c r="E126" s="481" t="n">
        <v>230</v>
      </c>
      <c r="F126" s="468" t="n">
        <v>260</v>
      </c>
      <c r="G126" s="468" t="n">
        <v>280</v>
      </c>
      <c r="H126" s="468" t="n">
        <v>320</v>
      </c>
    </row>
    <row r="127" ht="16.5" customHeight="1" s="534">
      <c r="B127" s="596" t="inlineStr">
        <is>
          <t>BESS Cycles Per Day</t>
        </is>
      </c>
      <c r="C127" s="480" t="n">
        <v>1</v>
      </c>
      <c r="D127" s="459" t="n">
        <v>0.131041782393799</v>
      </c>
      <c r="E127" s="454" t="n">
        <v>0.1119322526333668</v>
      </c>
      <c r="F127" s="454" t="n">
        <v>0.09740452781002706</v>
      </c>
      <c r="G127" s="454" t="n">
        <v>0.08942418799264407</v>
      </c>
      <c r="H127" s="454" t="n">
        <v>0.07630433321340835</v>
      </c>
    </row>
    <row r="128" ht="16.5" customHeight="1" s="534">
      <c r="B128" s="592" t="n"/>
      <c r="C128" s="249" t="n">
        <v>1.2</v>
      </c>
      <c r="D128" s="460" t="n">
        <v>0.1207690753208204</v>
      </c>
      <c r="E128" s="248" t="n">
        <v>0.1227730940349701</v>
      </c>
      <c r="F128" s="248" t="n">
        <v>0.1061536922251687</v>
      </c>
      <c r="G128" s="248" t="n">
        <v>0.09718020000956828</v>
      </c>
      <c r="H128" s="248" t="n">
        <v>0.08265312352373444</v>
      </c>
    </row>
    <row r="129" ht="16.5" customHeight="1" s="534">
      <c r="B129" s="592" t="n"/>
      <c r="C129" s="461" t="n">
        <v>1.3</v>
      </c>
      <c r="D129" s="460" t="n">
        <v>0.1251334146264742</v>
      </c>
      <c r="E129" s="248" t="n">
        <v>0.128723426126623</v>
      </c>
      <c r="F129" s="248" t="n">
        <v>0.1108575977414963</v>
      </c>
      <c r="G129" s="248" t="n">
        <v>0.1013210639379027</v>
      </c>
      <c r="H129" s="248" t="n">
        <v>0.08598458026630729</v>
      </c>
    </row>
    <row r="130" ht="16.5" customHeight="1" s="534">
      <c r="B130" s="592" t="n"/>
      <c r="C130" s="249" t="n">
        <v>1.5</v>
      </c>
      <c r="D130" s="460" t="n">
        <v>0.1343965115409504</v>
      </c>
      <c r="E130" s="248" t="n">
        <v>0.1190665679247889</v>
      </c>
      <c r="F130" s="248" t="n">
        <v>0.1210753546338521</v>
      </c>
      <c r="G130" s="248" t="n">
        <v>0.1101974718089145</v>
      </c>
      <c r="H130" s="248" t="n">
        <v>0.09303086369981339</v>
      </c>
    </row>
    <row r="131" ht="16.5" customHeight="1" s="534">
      <c r="B131" s="595" t="n"/>
      <c r="C131" s="249" t="n">
        <v>1.7</v>
      </c>
      <c r="D131" s="460" t="n">
        <v>0.1444649675842857</v>
      </c>
      <c r="E131" s="248" t="n">
        <v>0.1274501207291099</v>
      </c>
      <c r="F131" s="248" t="n">
        <v>0.13259735800941</v>
      </c>
      <c r="G131" s="248" t="n">
        <v>0.1200379667347307</v>
      </c>
      <c r="H131" s="248" t="n">
        <v>0.100667175268621</v>
      </c>
    </row>
    <row r="132" ht="16.5" customHeight="1" s="534"/>
    <row r="133" ht="16.5" customHeight="1" s="534"/>
    <row r="134" ht="19.5" customHeight="1" s="534">
      <c r="A134" s="432" t="n"/>
      <c r="B134" s="364" t="inlineStr">
        <is>
          <t>Two-Way Table 4 — Equity IRR: PPA Price × Interest Rate</t>
        </is>
      </c>
      <c r="C134" s="81" t="n"/>
      <c r="D134" s="81" t="n"/>
      <c r="E134" s="81" t="n"/>
      <c r="F134" s="81" t="n"/>
      <c r="G134" s="81" t="n"/>
      <c r="H134" s="81" t="n"/>
      <c r="I134" s="81" t="n"/>
    </row>
    <row r="135" ht="18" customHeight="1" s="534">
      <c r="D135" s="519" t="inlineStr">
        <is>
          <t>PPA Price ($)</t>
        </is>
      </c>
    </row>
    <row r="136" ht="16.5" customHeight="1" s="534">
      <c r="B136" s="433" t="inlineStr">
        <is>
          <t>Equity IRR</t>
        </is>
      </c>
      <c r="C136" s="455" t="n">
        <v>0.128723426126623</v>
      </c>
      <c r="D136" s="468" t="n">
        <v>40</v>
      </c>
      <c r="E136" s="468" t="n">
        <v>45</v>
      </c>
      <c r="F136" s="481" t="n">
        <v>50</v>
      </c>
      <c r="G136" s="468" t="n">
        <v>55</v>
      </c>
      <c r="H136" s="468" t="n">
        <v>60</v>
      </c>
      <c r="I136" s="468" t="n">
        <v>65</v>
      </c>
    </row>
    <row r="137" ht="16.5" customHeight="1" s="534">
      <c r="B137" s="516" t="inlineStr">
        <is>
          <t>Interest Rate (%)</t>
        </is>
      </c>
      <c r="C137" s="456" t="n">
        <v>0.055</v>
      </c>
      <c r="D137" s="459" t="n">
        <v>0.087298174698766</v>
      </c>
      <c r="E137" s="454" t="n">
        <v>0.1275088796269681</v>
      </c>
      <c r="F137" s="454" t="n">
        <v>0.1432968944425517</v>
      </c>
      <c r="G137" s="454" t="n">
        <v>0.2037681306166812</v>
      </c>
      <c r="H137" s="454" t="n">
        <v>0.3222450902985488</v>
      </c>
      <c r="I137" s="454" t="n">
        <v>0.4505965409199544</v>
      </c>
    </row>
    <row r="138" ht="16.5" customHeight="1" s="534">
      <c r="B138" s="592" t="n"/>
      <c r="C138" s="457" t="n">
        <v>0.06</v>
      </c>
      <c r="D138" s="460" t="n">
        <v>0.0797992230330411</v>
      </c>
      <c r="E138" s="248" t="n">
        <v>0.1125316749773382</v>
      </c>
      <c r="F138" s="248" t="n">
        <v>0.1302885950513788</v>
      </c>
      <c r="G138" s="248" t="n">
        <v>0.1784888924859611</v>
      </c>
      <c r="H138" s="248" t="n">
        <v>0.2626333515923793</v>
      </c>
      <c r="I138" s="248" t="n">
        <v>0.4244928307405538</v>
      </c>
    </row>
    <row r="139" ht="16.5" customHeight="1" s="534">
      <c r="B139" s="592" t="n"/>
      <c r="C139" s="458" t="n">
        <v>0.07000000000000001</v>
      </c>
      <c r="D139" s="460" t="n">
        <v>0.06839725889551418</v>
      </c>
      <c r="E139" s="248" t="n">
        <v>0.09215710725761417</v>
      </c>
      <c r="F139" s="248" t="n">
        <v>0.128723426126623</v>
      </c>
      <c r="G139" s="248" t="n">
        <v>0.1451035959640699</v>
      </c>
      <c r="H139" s="248" t="n">
        <v>0.1959416029877921</v>
      </c>
      <c r="I139" s="248" t="n">
        <v>0.2825585460792901</v>
      </c>
    </row>
    <row r="140" ht="16.5" customHeight="1" s="534">
      <c r="B140" s="592" t="n"/>
      <c r="C140" s="457" t="n">
        <v>0.08</v>
      </c>
      <c r="D140" s="460" t="n">
        <v>0.06007139711286724</v>
      </c>
      <c r="E140" s="248" t="n">
        <v>0.07873259266069521</v>
      </c>
      <c r="F140" s="248" t="n">
        <v>0.1045953790365912</v>
      </c>
      <c r="G140" s="248" t="n">
        <v>0.1238231128824667</v>
      </c>
      <c r="H140" s="248" t="n">
        <v>0.1593765876001652</v>
      </c>
      <c r="I140" s="248" t="n">
        <v>0.2120710570676398</v>
      </c>
    </row>
    <row r="141" ht="16.5" customHeight="1" s="534">
      <c r="B141" s="595" t="n"/>
      <c r="C141" s="457" t="n">
        <v>0.09</v>
      </c>
      <c r="D141" s="460" t="n">
        <v>0.05368988182958523</v>
      </c>
      <c r="E141" s="248" t="n">
        <v>0.06908805025164866</v>
      </c>
      <c r="F141" s="248" t="n">
        <v>0.0890715325000393</v>
      </c>
      <c r="G141" s="248" t="n">
        <v>0.1169856739814124</v>
      </c>
      <c r="H141" s="248" t="n">
        <v>0.1361484523281324</v>
      </c>
      <c r="I141" s="248" t="n">
        <v>0.1730435580554852</v>
      </c>
    </row>
    <row r="142" ht="16.5" customHeight="1" s="534"/>
    <row r="143" ht="16.5" customHeight="1" s="534"/>
    <row r="144" ht="16.5" customHeight="1" s="534">
      <c r="A144" s="282" t="inlineStr">
        <is>
          <t>Section 4 — Scenario Analysis</t>
        </is>
      </c>
      <c r="B144" s="282" t="n"/>
      <c r="C144" s="282" t="n"/>
      <c r="D144" s="282" t="n"/>
      <c r="E144" s="282" t="n"/>
      <c r="F144" s="282" t="n"/>
    </row>
    <row r="145" ht="18" customHeight="1" s="534">
      <c r="A145" s="364" t="n"/>
      <c r="B145" s="364" t="inlineStr">
        <is>
          <t>Table 1 — Input Assumptions by Scenario</t>
        </is>
      </c>
      <c r="C145" s="364" t="n"/>
      <c r="D145" s="364" t="n"/>
      <c r="E145" s="364" t="n"/>
      <c r="F145" s="364" t="n"/>
    </row>
    <row r="146" ht="18" customHeight="1" s="534">
      <c r="B146" s="318" t="inlineStr">
        <is>
          <t>Input Assumption</t>
        </is>
      </c>
      <c r="C146" s="318" t="inlineStr">
        <is>
          <t>Bear Case</t>
        </is>
      </c>
      <c r="D146" s="318" t="inlineStr">
        <is>
          <t>Base Case</t>
        </is>
      </c>
      <c r="E146" s="318" t="inlineStr">
        <is>
          <t>Bull Case</t>
        </is>
      </c>
      <c r="F146" s="318" t="inlineStr">
        <is>
          <t>12% Target Case</t>
        </is>
      </c>
    </row>
    <row r="147" ht="16.5" customHeight="1" s="534">
      <c r="B147" s="251" t="inlineStr">
        <is>
          <t>Solar EPC Cost ($/Wdc)</t>
        </is>
      </c>
      <c r="C147" s="441" t="n">
        <v>1.05</v>
      </c>
      <c r="D147" s="441" t="n">
        <v>0.8</v>
      </c>
      <c r="E147" s="441" t="n">
        <v>0.78</v>
      </c>
      <c r="F147" s="441" t="n">
        <v>0.8</v>
      </c>
    </row>
    <row r="148" ht="16.5" customHeight="1" s="534">
      <c r="B148" s="278" t="inlineStr">
        <is>
          <t>BESS EPC Cost ($/kWh)</t>
        </is>
      </c>
      <c r="C148" s="442" t="n">
        <v>320</v>
      </c>
      <c r="D148" s="442" t="n">
        <v>230</v>
      </c>
      <c r="E148" s="442" t="n">
        <v>210</v>
      </c>
      <c r="F148" s="442" t="n">
        <v>230</v>
      </c>
    </row>
    <row r="149" ht="16.5" customHeight="1" s="534">
      <c r="B149" s="251" t="inlineStr">
        <is>
          <t>Interconnection Cost ($M)</t>
        </is>
      </c>
      <c r="C149" s="441" t="n">
        <v>30</v>
      </c>
      <c r="D149" s="441" t="n">
        <v>15</v>
      </c>
      <c r="E149" s="441" t="n">
        <v>8</v>
      </c>
      <c r="F149" s="441" t="n">
        <v>15</v>
      </c>
    </row>
    <row r="150" ht="16.5" customHeight="1" s="534">
      <c r="B150" s="278" t="inlineStr">
        <is>
          <t>PPA Price — Year 1 ($/MWh)</t>
        </is>
      </c>
      <c r="C150" s="442" t="n">
        <v>44</v>
      </c>
      <c r="D150" s="442" t="n">
        <v>50</v>
      </c>
      <c r="E150" s="442" t="n">
        <v>58</v>
      </c>
      <c r="F150" s="442" t="n">
        <v>53</v>
      </c>
    </row>
    <row r="151" ht="16.5" customHeight="1" s="534">
      <c r="B151" s="251" t="inlineStr">
        <is>
          <t>P50 Capacity Factor (%)</t>
        </is>
      </c>
      <c r="C151" s="288" t="n">
        <v>0.25</v>
      </c>
      <c r="D151" s="288" t="n">
        <v>0.27</v>
      </c>
      <c r="E151" s="288" t="n">
        <v>0.29</v>
      </c>
      <c r="F151" s="288" t="n">
        <v>0.275</v>
      </c>
    </row>
    <row r="152" ht="16.5" customHeight="1" s="534">
      <c r="B152" s="278" t="inlineStr">
        <is>
          <t>Curtailment Rate (%)</t>
        </is>
      </c>
      <c r="C152" s="306" t="n">
        <v>0.08</v>
      </c>
      <c r="D152" s="306" t="n">
        <v>0.04</v>
      </c>
      <c r="E152" s="306" t="n">
        <v>0.025</v>
      </c>
      <c r="F152" s="306" t="n">
        <v>0.03</v>
      </c>
    </row>
    <row r="153" ht="16.5" customHeight="1" s="534">
      <c r="B153" s="251" t="inlineStr">
        <is>
          <t>Merchant Price — Post PPA ($/MWh)</t>
        </is>
      </c>
      <c r="C153" s="441" t="n">
        <v>28</v>
      </c>
      <c r="D153" s="441" t="n">
        <v>35</v>
      </c>
      <c r="E153" s="441" t="n">
        <v>45</v>
      </c>
      <c r="F153" s="441" t="n">
        <v>35</v>
      </c>
    </row>
    <row r="154" ht="16.5" customHeight="1" s="534">
      <c r="B154" s="278" t="inlineStr">
        <is>
          <t>Debt Interest Rate (%)</t>
        </is>
      </c>
      <c r="C154" s="306" t="n">
        <v>0.08500000000000001</v>
      </c>
      <c r="D154" s="306" t="n">
        <v>0.07000000000000001</v>
      </c>
      <c r="E154" s="306" t="n">
        <v>0.06</v>
      </c>
      <c r="F154" s="306" t="n">
        <v>0.07000000000000001</v>
      </c>
    </row>
    <row r="155" ht="16.5" customHeight="1" s="534">
      <c r="B155" s="251" t="inlineStr">
        <is>
          <t>BESS Cycles Per Day</t>
        </is>
      </c>
      <c r="C155" s="262" t="n">
        <v>1.1</v>
      </c>
      <c r="D155" s="262" t="n">
        <v>1.3</v>
      </c>
      <c r="E155" s="262" t="n">
        <v>1.5</v>
      </c>
      <c r="F155" s="262" t="n">
        <v>1.3</v>
      </c>
    </row>
    <row r="156" ht="16.5" customHeight="1" s="534"/>
    <row r="157" ht="16.5" customHeight="1" s="534"/>
    <row r="158" ht="18" customHeight="1" s="534">
      <c r="A158" s="364" t="n"/>
      <c r="B158" s="364" t="inlineStr">
        <is>
          <t>Table 2 — Output Metrics by Scenario</t>
        </is>
      </c>
      <c r="C158" s="364" t="n"/>
      <c r="D158" s="364" t="n"/>
      <c r="E158" s="364" t="n"/>
      <c r="F158" s="364" t="n"/>
    </row>
    <row r="159" ht="18" customHeight="1" s="534">
      <c r="B159" s="318" t="inlineStr">
        <is>
          <t>Input Assumption</t>
        </is>
      </c>
      <c r="C159" s="318" t="inlineStr">
        <is>
          <t>Bear Case</t>
        </is>
      </c>
      <c r="D159" s="318" t="inlineStr">
        <is>
          <t>Base Case</t>
        </is>
      </c>
      <c r="E159" s="318" t="inlineStr">
        <is>
          <t>Bull Case</t>
        </is>
      </c>
      <c r="F159" s="318" t="inlineStr">
        <is>
          <t>12% Target Case</t>
        </is>
      </c>
    </row>
    <row r="160" ht="16.5" customHeight="1" s="534">
      <c r="B160" s="280" t="inlineStr">
        <is>
          <t>Total Project Cost ($M)</t>
        </is>
      </c>
      <c r="C160" s="443" t="n">
        <v>237500000</v>
      </c>
      <c r="D160" s="443" t="n">
        <v>172100000</v>
      </c>
      <c r="E160" s="443" t="n">
        <v>158380000</v>
      </c>
      <c r="F160" s="443" t="n">
        <v>172100000</v>
      </c>
    </row>
    <row r="161" ht="16.5" customHeight="1" s="534">
      <c r="B161" s="448" t="inlineStr">
        <is>
          <t>Debt Amount ($M)</t>
        </is>
      </c>
      <c r="C161" s="449" t="n">
        <v>69046979.38250408</v>
      </c>
      <c r="D161" s="449" t="n">
        <v>99094750.34567195</v>
      </c>
      <c r="E161" s="449" t="n">
        <v>102947000</v>
      </c>
      <c r="F161" s="449" t="n">
        <v>88984676.12438202</v>
      </c>
    </row>
    <row r="162" ht="16.5" customHeight="1" s="534">
      <c r="B162" s="280" t="inlineStr">
        <is>
          <t>Equity Contribution ($M)</t>
        </is>
      </c>
      <c r="C162" s="443" t="n">
        <v>104766770.6174959</v>
      </c>
      <c r="D162" s="443" t="n">
        <v>27467499.65432805</v>
      </c>
      <c r="E162" s="443" t="n">
        <v>13702550</v>
      </c>
      <c r="F162" s="443" t="n">
        <v>37577573.87561798</v>
      </c>
    </row>
    <row r="163" ht="16.5" customHeight="1" s="534">
      <c r="B163" s="448" t="inlineStr">
        <is>
          <t>Leverage (%)</t>
        </is>
      </c>
      <c r="C163" s="450" t="n">
        <v>0.2907241237158066</v>
      </c>
      <c r="D163" s="450" t="n">
        <v>0.5757975034611967</v>
      </c>
      <c r="E163" s="450" t="n">
        <v>0.65</v>
      </c>
      <c r="F163" s="450" t="n">
        <v>0.5170521564461477</v>
      </c>
    </row>
    <row r="164" ht="16.5" customHeight="1" s="534">
      <c r="B164" s="280" t="inlineStr">
        <is>
          <t>Project IRR (%)</t>
        </is>
      </c>
      <c r="C164" s="444" t="n">
        <v>0.01898986416369874</v>
      </c>
      <c r="D164" s="444" t="n">
        <v>0.07749320138645488</v>
      </c>
      <c r="E164" s="444" t="n">
        <v>0.1190128011808305</v>
      </c>
      <c r="F164" s="444" t="n">
        <v>0.08613634755803456</v>
      </c>
    </row>
    <row r="165" ht="16.5" customHeight="1" s="534">
      <c r="B165" s="448" t="inlineStr">
        <is>
          <t>Equity IRR (%)</t>
        </is>
      </c>
      <c r="C165" s="450" t="n">
        <v>0.00600235263598381</v>
      </c>
      <c r="D165" s="450" t="n">
        <v>0.128723426126623</v>
      </c>
      <c r="E165" s="450" t="n">
        <v>0.5082994145030071</v>
      </c>
      <c r="F165" s="450" t="n">
        <v>0.1403174892675416</v>
      </c>
    </row>
    <row r="166" ht="16.5" customHeight="1" s="534">
      <c r="B166" s="280" t="inlineStr">
        <is>
          <t>Min DSCR (x)</t>
        </is>
      </c>
      <c r="C166" s="445" t="n">
        <v>1.3</v>
      </c>
      <c r="D166" s="445" t="n">
        <v>1.3</v>
      </c>
      <c r="E166" s="445" t="n">
        <v>1.41056651201857</v>
      </c>
      <c r="F166" s="445" t="n">
        <v>1.3</v>
      </c>
    </row>
    <row r="167" ht="16.5" customHeight="1" s="534">
      <c r="B167" s="448" t="inlineStr">
        <is>
          <t>Equity Multiple (x)</t>
        </is>
      </c>
      <c r="C167" s="451" t="n">
        <v>1.111948131291133</v>
      </c>
      <c r="D167" s="451" t="n">
        <v>5.063051128519211</v>
      </c>
      <c r="E167" s="451" t="n">
        <v>15.92930028518198</v>
      </c>
      <c r="F167" s="451" t="n">
        <v>4.601975611832773</v>
      </c>
    </row>
    <row r="168" ht="16.5" customHeight="1" s="534">
      <c r="B168" s="280" t="inlineStr">
        <is>
          <t>Payback Period (years)</t>
        </is>
      </c>
      <c r="C168" s="446" t="n">
        <v>28</v>
      </c>
      <c r="D168" s="446" t="n">
        <v>9</v>
      </c>
      <c r="E168" s="446" t="n">
        <v>2</v>
      </c>
      <c r="F168" s="446" t="n">
        <v>8</v>
      </c>
    </row>
    <row r="169" ht="16.5" customHeight="1" s="534">
      <c r="B169" s="448" t="inlineStr">
        <is>
          <t>LCOE — System ($/MWh)</t>
        </is>
      </c>
      <c r="C169" s="452" t="n">
        <v>102.0326393752881</v>
      </c>
      <c r="D169" s="452" t="n">
        <v>69.84004863733207</v>
      </c>
      <c r="E169" s="452" t="n">
        <v>59.43512908482672</v>
      </c>
      <c r="F169" s="452" t="n">
        <v>68.31097726266928</v>
      </c>
    </row>
    <row r="170" ht="16.5" customHeight="1" s="534">
      <c r="B170" s="280" t="inlineStr">
        <is>
          <t>Year 1 Total Revenue ($M)</t>
        </is>
      </c>
      <c r="C170" s="447" t="n">
        <v>15099496.7</v>
      </c>
      <c r="D170" s="447" t="n">
        <v>17720253.64</v>
      </c>
      <c r="E170" s="447" t="n">
        <v>20943610.4325</v>
      </c>
      <c r="F170" s="447" t="n">
        <v>18697981.8775</v>
      </c>
    </row>
  </sheetData>
  <mergeCells count="9">
    <mergeCell ref="B127:B131"/>
    <mergeCell ref="D115:H115"/>
    <mergeCell ref="A1:J1"/>
    <mergeCell ref="B108:B111"/>
    <mergeCell ref="D125:H125"/>
    <mergeCell ref="D106:I106"/>
    <mergeCell ref="B117:B121"/>
    <mergeCell ref="B137:B141"/>
    <mergeCell ref="D135:I135"/>
  </mergeCells>
  <conditionalFormatting sqref="D117:H121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127:H131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108:I111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137:I141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511811023622047" footer="0.511811023622047"/>
  <pageSetup orientation="portrait" paperSize="9" horizontalDpi="300" verticalDpi="300"/>
</worksheet>
</file>

<file path=xl/worksheets/sheet11.xml><?xml version="1.0" encoding="utf-8"?>
<worksheet xmlns="http://schemas.openxmlformats.org/spreadsheetml/2006/main">
  <sheetPr>
    <tabColor rgb="FFC9A84C"/>
    <outlinePr summaryBelow="1" summaryRight="1"/>
    <pageSetUpPr/>
  </sheetPr>
  <dimension ref="A1:I141"/>
  <sheetViews>
    <sheetView showGridLines="0" tabSelected="1" zoomScaleNormal="100" workbookViewId="0">
      <pane xSplit="1" ySplit="2" topLeftCell="B19" activePane="bottomRight" state="frozen"/>
      <selection pane="topRight" activeCell="B1" sqref="B1"/>
      <selection pane="bottomLeft" activeCell="A3" sqref="A3"/>
      <selection pane="bottomRight" activeCell="C129" sqref="C129"/>
    </sheetView>
  </sheetViews>
  <sheetFormatPr baseColWidth="8" defaultColWidth="8.7265625" defaultRowHeight="14.5"/>
  <cols>
    <col width="1" customWidth="1" style="534" min="1" max="1"/>
    <col width="32.1796875" bestFit="1" customWidth="1" style="534" min="2" max="2"/>
    <col width="44.1796875" bestFit="1" customWidth="1" style="534" min="3" max="3"/>
    <col width="36.54296875" bestFit="1" customWidth="1" style="534" min="4" max="4"/>
    <col width="33.54296875" bestFit="1" customWidth="1" style="534" min="5" max="5"/>
    <col width="12.54296875" bestFit="1" customWidth="1" style="534" min="6" max="6"/>
    <col width="1" customWidth="1" style="534" min="7" max="7"/>
    <col width="9.7265625" bestFit="1" customWidth="1" style="534" min="9" max="9"/>
  </cols>
  <sheetData>
    <row r="1" ht="6" customHeight="1" s="534">
      <c r="A1" s="531" t="n"/>
    </row>
    <row r="2" ht="36" customHeight="1" s="534">
      <c r="B2" s="532" t="inlineStr">
        <is>
          <t>100 MWac Solar PV  +  50 MW / 200 MWh BESS  |  CAISO SP15</t>
        </is>
      </c>
    </row>
    <row r="3" ht="19.5" customHeight="1" s="534">
      <c r="B3" s="533" t="inlineStr">
        <is>
          <t>Project Finance Model  ·  Base Case Dashboard  ·  April 2026</t>
        </is>
      </c>
    </row>
    <row r="4" ht="3" customHeight="1" s="534">
      <c r="A4" s="527" t="n"/>
    </row>
    <row r="5" ht="7.5" customHeight="1" s="534"/>
    <row r="6" ht="21.75" customHeight="1" s="534">
      <c r="B6" s="524" t="inlineStr">
        <is>
          <t>1  —  Project Summary</t>
        </is>
      </c>
      <c r="C6" s="535" t="n"/>
      <c r="D6" s="535" t="n"/>
      <c r="E6" s="535" t="n"/>
      <c r="F6" s="535" t="n"/>
    </row>
    <row r="7" ht="15.75" customHeight="1" s="534">
      <c r="B7" s="525" t="inlineStr">
        <is>
          <t>Core project parameters and contractual framework</t>
        </is>
      </c>
    </row>
    <row r="8" ht="18" customHeight="1" s="534">
      <c r="B8" s="4" t="inlineStr">
        <is>
          <t>Parameter</t>
        </is>
      </c>
      <c r="C8" s="5" t="inlineStr">
        <is>
          <t>Value</t>
        </is>
      </c>
      <c r="D8" s="6" t="inlineStr">
        <is>
          <t>Notes / Source</t>
        </is>
      </c>
      <c r="E8" s="6" t="n"/>
      <c r="F8" s="6" t="n"/>
    </row>
    <row r="9" ht="16.5" customHeight="1" s="534">
      <c r="B9" s="7" t="inlineStr">
        <is>
          <t>Technology</t>
        </is>
      </c>
      <c r="C9" s="8" t="inlineStr">
        <is>
          <t>Single-axis tracking PV + AC-coupled Li-ion BESS</t>
        </is>
      </c>
      <c r="D9" s="9" t="inlineStr">
        <is>
          <t>Developer assumption</t>
        </is>
      </c>
    </row>
    <row r="10" ht="16.5" customHeight="1" s="534">
      <c r="B10" s="10" t="inlineStr">
        <is>
          <t>Location / Market</t>
        </is>
      </c>
      <c r="C10" s="11" t="inlineStr">
        <is>
          <t>CAISO SP15  —  Southern California</t>
        </is>
      </c>
      <c r="D10" s="12" t="inlineStr">
        <is>
          <t>CAISO interconnection queue</t>
        </is>
      </c>
    </row>
    <row r="11" ht="16.5" customHeight="1" s="534">
      <c r="B11" s="7" t="inlineStr">
        <is>
          <t>Solar Capacity</t>
        </is>
      </c>
      <c r="C11" s="8" t="inlineStr">
        <is>
          <t>100 MWac  /  120 MWdc  (DC:AC 1.2x)</t>
        </is>
      </c>
      <c r="D11" s="9" t="inlineStr">
        <is>
          <t>Developer assumption</t>
        </is>
      </c>
    </row>
    <row r="12" ht="16.5" customHeight="1" s="534">
      <c r="B12" s="10" t="inlineStr">
        <is>
          <t>Storage Capacity</t>
        </is>
      </c>
      <c r="C12" s="11" t="inlineStr">
        <is>
          <t>50 MW  /  200 MWh  (4-hour duration)</t>
        </is>
      </c>
      <c r="D12" s="12" t="inlineStr">
        <is>
          <t>Developer assumption</t>
        </is>
      </c>
    </row>
    <row r="13" ht="16.5" customHeight="1" s="534">
      <c r="B13" s="7" t="inlineStr">
        <is>
          <t>P50 Capacity Factor</t>
        </is>
      </c>
      <c r="C13" s="8" t="inlineStr">
        <is>
          <t>27%  (AC basis)</t>
        </is>
      </c>
      <c r="D13" s="9" t="inlineStr">
        <is>
          <t>NREL NSRDB — SP15 region</t>
        </is>
      </c>
    </row>
    <row r="14" ht="16.5" customHeight="1" s="534">
      <c r="B14" s="10" t="inlineStr">
        <is>
          <t>P90 Capacity Factor</t>
        </is>
      </c>
      <c r="C14" s="11" t="inlineStr">
        <is>
          <t>24%  (AC basis)</t>
        </is>
      </c>
      <c r="D14" s="12" t="inlineStr">
        <is>
          <t>NREL NSRDB — SP15 region</t>
        </is>
      </c>
    </row>
    <row r="15" ht="16.5" customHeight="1" s="534">
      <c r="B15" s="7" t="inlineStr">
        <is>
          <t>Project Life</t>
        </is>
      </c>
      <c r="C15" s="8" t="inlineStr">
        <is>
          <t>30 years</t>
        </is>
      </c>
      <c r="D15" s="9" t="inlineStr">
        <is>
          <t>Developer assumption</t>
        </is>
      </c>
    </row>
    <row r="16" ht="16.5" customHeight="1" s="534">
      <c r="B16" s="10" t="inlineStr">
        <is>
          <t>COD Assumption</t>
        </is>
      </c>
      <c r="C16" s="11" t="inlineStr">
        <is>
          <t>Year 1 of model (no construction period)</t>
        </is>
      </c>
      <c r="D16" s="12" t="inlineStr">
        <is>
          <t>Simplification — see Limitations</t>
        </is>
      </c>
    </row>
    <row r="17" ht="16.5" customHeight="1" s="534">
      <c r="B17" s="7" t="inlineStr">
        <is>
          <t>PPA Term / Price</t>
        </is>
      </c>
      <c r="C17" s="8" t="inlineStr">
        <is>
          <t>20 years  /  $50/MWh Year 1  (1.0%/yr escalator)</t>
        </is>
      </c>
      <c r="D17" s="9" t="inlineStr">
        <is>
          <t>LBNL Utility-Scale Solar 2024</t>
        </is>
      </c>
    </row>
    <row r="18" ht="16.5" customHeight="1" s="534">
      <c r="B18" s="10" t="inlineStr">
        <is>
          <t>Post-PPA Merchant</t>
        </is>
      </c>
      <c r="C18" s="11" t="inlineStr">
        <is>
          <t>$35/MWh flat real  (Years 21–30)</t>
        </is>
      </c>
      <c r="D18" s="12" t="inlineStr">
        <is>
          <t>Conservative flat assumption</t>
        </is>
      </c>
    </row>
    <row r="19" ht="16.5" customHeight="1" s="534">
      <c r="B19" s="7" t="inlineStr">
        <is>
          <t>Tax Credit</t>
        </is>
      </c>
      <c r="C19" s="8" t="inlineStr">
        <is>
          <t>ITC — Section 48E  /  30%  /  PWA compliant</t>
        </is>
      </c>
      <c r="D19" s="9" t="inlineStr">
        <is>
          <t>IRA Section 48E; IRS guidance</t>
        </is>
      </c>
    </row>
    <row r="20" ht="16.5" customHeight="1" s="534">
      <c r="B20" s="10" t="inlineStr">
        <is>
          <t>ITC Transfer Price</t>
        </is>
      </c>
      <c r="C20" s="11" t="inlineStr">
        <is>
          <t>92.5¢ per dollar</t>
        </is>
      </c>
      <c r="D20" s="12" t="inlineStr">
        <is>
          <t>Norton Rose Tax Equity Outlook 2024</t>
        </is>
      </c>
    </row>
    <row r="21" ht="9.75" customHeight="1" s="534"/>
    <row r="22" ht="21.75" customHeight="1" s="534">
      <c r="B22" s="524" t="inlineStr">
        <is>
          <t>2  —  Sources and Uses</t>
        </is>
      </c>
      <c r="C22" s="535" t="n"/>
      <c r="D22" s="535" t="n"/>
      <c r="E22" s="535" t="n"/>
      <c r="F22" s="535" t="n"/>
    </row>
    <row r="23" ht="15.75" customHeight="1" s="534">
      <c r="B23" s="525" t="inlineStr">
        <is>
          <t>Total project cost and financing structure at financial close</t>
        </is>
      </c>
    </row>
    <row r="24" ht="18" customHeight="1" s="534" thickBot="1">
      <c r="B24" s="4" t="inlineStr">
        <is>
          <t>USES</t>
        </is>
      </c>
      <c r="C24" s="13" t="inlineStr">
        <is>
          <t>Amount ($)</t>
        </is>
      </c>
      <c r="D24" s="13" t="inlineStr">
        <is>
          <t>% of Total</t>
        </is>
      </c>
    </row>
    <row r="25" ht="16.5" customHeight="1" s="534">
      <c r="B25" s="7" t="inlineStr">
        <is>
          <t>Solar EPC Cost</t>
        </is>
      </c>
      <c r="C25" s="16">
        <f>Costs!C4</f>
        <v/>
      </c>
      <c r="D25" s="17">
        <f>C25/$C$31</f>
        <v/>
      </c>
    </row>
    <row r="26" ht="16.5" customHeight="1" s="534">
      <c r="B26" s="10" t="inlineStr">
        <is>
          <t>BESS EPC Cost</t>
        </is>
      </c>
      <c r="C26" s="20">
        <f>Costs!C5</f>
        <v/>
      </c>
      <c r="D26" s="17">
        <f>C26/$C$31</f>
        <v/>
      </c>
    </row>
    <row r="27" ht="16.5" customHeight="1" s="534">
      <c r="B27" s="7" t="inlineStr">
        <is>
          <t>Interconnection</t>
        </is>
      </c>
      <c r="C27" s="16">
        <f>Costs!C7</f>
        <v/>
      </c>
      <c r="D27" s="17">
        <f>C27/$C$31</f>
        <v/>
      </c>
    </row>
    <row r="28" ht="16.5" customHeight="1" s="534">
      <c r="B28" s="7" t="inlineStr">
        <is>
          <t>Development Costs ($)</t>
        </is>
      </c>
      <c r="C28" s="16">
        <f>Costs!C8</f>
        <v/>
      </c>
      <c r="D28" s="17">
        <f>C28/$C$31</f>
        <v/>
      </c>
    </row>
    <row r="29" ht="16.5" customHeight="1" s="534">
      <c r="B29" s="7" t="inlineStr">
        <is>
          <t>Owner's Contingency ($)</t>
        </is>
      </c>
      <c r="C29" s="16">
        <f>Costs!C9</f>
        <v/>
      </c>
      <c r="D29" s="17">
        <f>C29/$C$31</f>
        <v/>
      </c>
    </row>
    <row r="30" ht="16.5" customHeight="1" s="534" thickBot="1">
      <c r="B30" s="7" t="inlineStr">
        <is>
          <t>Financing Costs ($)</t>
        </is>
      </c>
      <c r="C30" s="16">
        <f>Costs!C12</f>
        <v/>
      </c>
      <c r="D30" s="17">
        <f>C30/$C$31</f>
        <v/>
      </c>
    </row>
    <row r="31" ht="18" customHeight="1" s="534" thickBot="1">
      <c r="B31" s="25" t="inlineStr">
        <is>
          <t>Total Project Cost</t>
        </is>
      </c>
      <c r="C31" s="26">
        <f>SUM(C25:C30)</f>
        <v/>
      </c>
      <c r="D31" s="27">
        <f>SUM(D25:D30)</f>
        <v/>
      </c>
    </row>
    <row r="32" ht="18" customHeight="1" s="534" thickBot="1">
      <c r="B32" s="14" t="inlineStr">
        <is>
          <t>SOURCES</t>
        </is>
      </c>
      <c r="C32" s="15" t="inlineStr">
        <is>
          <t>Amount ($)</t>
        </is>
      </c>
      <c r="D32" s="15" t="inlineStr">
        <is>
          <t>% of Total</t>
        </is>
      </c>
    </row>
    <row r="33" ht="18" customHeight="1" s="534">
      <c r="B33" s="18" t="inlineStr">
        <is>
          <t>Senior Debt</t>
        </is>
      </c>
      <c r="C33" s="19">
        <f>Debt!C15</f>
        <v/>
      </c>
      <c r="D33" s="482">
        <f>C33/$C$36</f>
        <v/>
      </c>
    </row>
    <row r="34" ht="18" customHeight="1" s="534">
      <c r="B34" s="21" t="inlineStr">
        <is>
          <t>ITC Cash Proceeds</t>
        </is>
      </c>
      <c r="C34" s="22">
        <f>Debt!C4</f>
        <v/>
      </c>
      <c r="D34" s="483">
        <f>C34/C36</f>
        <v/>
      </c>
    </row>
    <row r="35" ht="18" customHeight="1" s="534" thickBot="1">
      <c r="B35" s="23" t="inlineStr">
        <is>
          <t>Equity Contribution</t>
        </is>
      </c>
      <c r="C35" s="24">
        <f>Debt!C16</f>
        <v/>
      </c>
      <c r="D35" s="484">
        <f>C35/C36</f>
        <v/>
      </c>
    </row>
    <row r="36" ht="18" customHeight="1" s="534" thickBot="1">
      <c r="B36" s="28" t="inlineStr">
        <is>
          <t>Total Sources</t>
        </is>
      </c>
      <c r="C36" s="29">
        <f>SUM(C33:C35)</f>
        <v/>
      </c>
      <c r="D36" s="29" t="n"/>
    </row>
    <row r="37" ht="16.5" customHeight="1" s="534">
      <c r="B37" s="30" t="inlineStr">
        <is>
          <t>Check:  Uses − Sources</t>
        </is>
      </c>
      <c r="C37" s="31">
        <f>C31-C36</f>
        <v/>
      </c>
      <c r="D37" s="32">
        <f>IF(C37=0,"✓  Capital stack closes", "X Capital stack does not close")</f>
        <v/>
      </c>
    </row>
    <row r="38" ht="9.75" customHeight="1" s="534"/>
    <row r="39" ht="21.75" customHeight="1" s="534">
      <c r="B39" s="524" t="inlineStr">
        <is>
          <t>3  —  Key Returns</t>
        </is>
      </c>
      <c r="C39" s="535" t="n"/>
      <c r="D39" s="535" t="n"/>
      <c r="E39" s="535" t="n"/>
      <c r="F39" s="535" t="n"/>
    </row>
    <row r="40" ht="15.75" customHeight="1" s="534">
      <c r="B40" s="525" t="inlineStr">
        <is>
          <t>Project and equity returns, debt metrics, and LCOE benchmarks</t>
        </is>
      </c>
    </row>
    <row r="41" ht="18" customHeight="1" s="534">
      <c r="B41" s="529" t="inlineStr">
        <is>
          <t>Project Returns  (Unlevered)</t>
        </is>
      </c>
    </row>
    <row r="42" ht="18" customHeight="1" s="534" thickBot="1">
      <c r="B42" s="33" t="inlineStr">
        <is>
          <t>Metric</t>
        </is>
      </c>
      <c r="C42" s="34" t="inlineStr">
        <is>
          <t>Value</t>
        </is>
      </c>
      <c r="D42" s="34" t="inlineStr">
        <is>
          <t>Benchmark / Target</t>
        </is>
      </c>
      <c r="E42" s="34" t="inlineStr">
        <is>
          <t>Status</t>
        </is>
      </c>
      <c r="F42" s="34" t="n"/>
    </row>
    <row r="43" ht="16.5" customHeight="1" s="534">
      <c r="B43" s="23" t="inlineStr">
        <is>
          <t>Project IRR (%)</t>
        </is>
      </c>
      <c r="C43" s="35">
        <f>Cashflows!C47</f>
        <v/>
      </c>
      <c r="D43" s="36" t="inlineStr">
        <is>
          <t>&gt; 7.0% (debt cost)</t>
        </is>
      </c>
      <c r="E43" s="37">
        <f>IF(C43&gt;=0.07,"✓  Accretive", "⚠  Below target")</f>
        <v/>
      </c>
    </row>
    <row r="44" ht="16.5" customHeight="1" s="534">
      <c r="B44" s="23" t="inlineStr">
        <is>
          <t>Project NPV at 7% ($)</t>
        </is>
      </c>
      <c r="C44" s="38">
        <f>Cashflows!C17</f>
        <v/>
      </c>
      <c r="D44" s="36" t="inlineStr">
        <is>
          <t>&gt; $0</t>
        </is>
      </c>
      <c r="E44" s="37">
        <f>IF(C44&gt;0,"✓  Positive","⚠  Below hurdle")</f>
        <v/>
      </c>
    </row>
    <row r="45" ht="16.5" customHeight="1" s="534">
      <c r="B45" s="7" t="inlineStr">
        <is>
          <t>Total 30-Year Revenue ($)</t>
        </is>
      </c>
      <c r="C45" s="16">
        <f>Cashflows!C53</f>
        <v/>
      </c>
      <c r="D45" s="9" t="inlineStr">
        <is>
          <t>—</t>
        </is>
      </c>
      <c r="E45" s="39" t="n"/>
    </row>
    <row r="46" ht="16.5" customHeight="1" s="534">
      <c r="B46" s="10" t="inlineStr">
        <is>
          <t>Total 30-Year Opex ($)</t>
        </is>
      </c>
      <c r="C46" s="20">
        <f>Cashflows!C54</f>
        <v/>
      </c>
      <c r="D46" s="12" t="inlineStr">
        <is>
          <t>—</t>
        </is>
      </c>
      <c r="E46" s="39" t="n"/>
    </row>
    <row r="47" ht="16.5" customHeight="1" s="534">
      <c r="B47" s="7" t="inlineStr">
        <is>
          <t>Total Unlevered Taxes Paid ($)</t>
        </is>
      </c>
      <c r="C47" s="16">
        <f>SUM(Cashflows!C12:AG12)</f>
        <v/>
      </c>
      <c r="D47" s="9" t="inlineStr">
        <is>
          <t>—</t>
        </is>
      </c>
      <c r="E47" s="39" t="n"/>
    </row>
    <row r="48" ht="7.5" customHeight="1" s="534"/>
    <row r="49" ht="18" customHeight="1" s="534">
      <c r="B49" s="530" t="inlineStr">
        <is>
          <t>Equity Returns  (Levered)</t>
        </is>
      </c>
    </row>
    <row r="50" ht="16.5" customHeight="1" s="534">
      <c r="B50" s="40" t="inlineStr">
        <is>
          <t>Equity IRR (%)</t>
        </is>
      </c>
      <c r="C50" s="41">
        <f>Cashflows!C48</f>
        <v/>
      </c>
      <c r="D50" s="42" t="inlineStr">
        <is>
          <t>Target: 12.0%</t>
        </is>
      </c>
      <c r="E50" s="37">
        <f>IF(C50&gt;=0.12,"✓  Accretive", "⚠  Below target")</f>
        <v/>
      </c>
    </row>
    <row r="51" ht="16.5" customHeight="1" s="534">
      <c r="B51" s="21" t="inlineStr">
        <is>
          <t>Gap to 12% Target</t>
        </is>
      </c>
      <c r="C51" s="43">
        <f>IF(Inputs!D102-Outputs!C50&gt;0,Inputs!D102-Outputs!C50,0)</f>
        <v/>
      </c>
      <c r="D51" s="44" t="inlineStr">
        <is>
          <t>Min viable PPA: $55.42/MWh</t>
        </is>
      </c>
      <c r="E51" s="39" t="n"/>
    </row>
    <row r="52" ht="16.5" customHeight="1" s="534">
      <c r="B52" s="45" t="inlineStr">
        <is>
          <t>Equity NPV at 12% ($)</t>
        </is>
      </c>
      <c r="C52" s="46">
        <f>Cashflows!C38</f>
        <v/>
      </c>
      <c r="D52" s="42" t="inlineStr">
        <is>
          <t>&gt; $0 at target IRR</t>
        </is>
      </c>
      <c r="E52" s="37">
        <f>IF(C52&gt;0,"✓  Positive","⚠  Below hurdle")</f>
        <v/>
      </c>
    </row>
    <row r="53" ht="16.5" customHeight="1" s="534">
      <c r="B53" s="47" t="inlineStr">
        <is>
          <t>Equity Multiple (x)</t>
        </is>
      </c>
      <c r="C53" s="48">
        <f>Cashflows!C51</f>
        <v/>
      </c>
      <c r="D53" s="36" t="inlineStr">
        <is>
          <t>Target: &gt; 2.0x</t>
        </is>
      </c>
      <c r="E53" s="37">
        <f>IF(C53&gt;=2,"✓  Above 2.0x","⚠  Below target")</f>
        <v/>
      </c>
    </row>
    <row r="54" ht="16.5" customHeight="1" s="534">
      <c r="B54" s="23" t="inlineStr">
        <is>
          <t>Payback Period (years)</t>
        </is>
      </c>
      <c r="C54" s="49">
        <f>Cashflows!C52</f>
        <v/>
      </c>
      <c r="D54" s="36" t="inlineStr">
        <is>
          <t>Target: &lt; 20 yrs</t>
        </is>
      </c>
      <c r="E54" s="37">
        <f>IF(C54&lt;=20,"✓  Strong","⚠  Below target")</f>
        <v/>
      </c>
    </row>
    <row r="55" ht="16.5" customHeight="1" s="534">
      <c r="B55" s="7" t="inlineStr">
        <is>
          <t>Total Debt Service ($)</t>
        </is>
      </c>
      <c r="C55" s="16">
        <f>Cashflows!C57</f>
        <v/>
      </c>
      <c r="D55" s="9" t="inlineStr">
        <is>
          <t>—</t>
        </is>
      </c>
      <c r="E55" s="39" t="n"/>
    </row>
    <row r="56" ht="16.5" customHeight="1" s="534">
      <c r="B56" s="7" t="inlineStr">
        <is>
          <t>Total Levered Taxes Paid ($)</t>
        </is>
      </c>
      <c r="C56" s="20">
        <f>Cashflows!C55</f>
        <v/>
      </c>
      <c r="D56" s="12" t="inlineStr">
        <is>
          <t>—</t>
        </is>
      </c>
      <c r="E56" s="39" t="n"/>
      <c r="I56" s="485" t="n"/>
    </row>
    <row r="57" ht="16.5" customHeight="1" s="534">
      <c r="B57" s="10" t="inlineStr">
        <is>
          <t>Total Interest Tax Shield ($)</t>
        </is>
      </c>
      <c r="C57" s="20">
        <f>Cashflows!C56</f>
        <v/>
      </c>
      <c r="D57" s="12" t="inlineStr">
        <is>
          <t>—</t>
        </is>
      </c>
      <c r="E57" s="39" t="n"/>
    </row>
    <row r="58" ht="7.5" customHeight="1" s="534"/>
    <row r="59" ht="18" customHeight="1" s="534">
      <c r="B59" s="529" t="inlineStr">
        <is>
          <t>Debt Metrics</t>
        </is>
      </c>
    </row>
    <row r="60" ht="16.5" customHeight="1" s="534">
      <c r="B60" s="7" t="inlineStr">
        <is>
          <t>Debt Amount ($)</t>
        </is>
      </c>
      <c r="C60" s="16">
        <f>Debt!C15</f>
        <v/>
      </c>
      <c r="D60" s="9" t="inlineStr">
        <is>
          <t>DSCR-constrained</t>
        </is>
      </c>
      <c r="E60" s="39" t="n"/>
    </row>
    <row r="61" ht="16.5" customHeight="1" s="534">
      <c r="B61" s="23" t="inlineStr">
        <is>
          <t>Leverage (%)</t>
        </is>
      </c>
      <c r="C61" s="35">
        <f>Debt!C17</f>
        <v/>
      </c>
      <c r="D61" s="36" t="inlineStr">
        <is>
          <t>Max 65%  (leverage cap)</t>
        </is>
      </c>
      <c r="E61" s="37">
        <f>IF(C61&lt;0.65,"✓  Within cap","⚠  Above cap")</f>
        <v/>
      </c>
    </row>
    <row r="62" ht="16.5" customHeight="1" s="534">
      <c r="B62" s="10" t="inlineStr">
        <is>
          <t>Binding Constraint</t>
        </is>
      </c>
      <c r="C62" s="11">
        <f>Debt!C14</f>
        <v/>
      </c>
      <c r="D62" s="12" t="inlineStr">
        <is>
          <t>—</t>
        </is>
      </c>
      <c r="E62" s="39" t="n"/>
    </row>
    <row r="63" ht="16.5" customHeight="1" s="534">
      <c r="B63" s="7" t="inlineStr">
        <is>
          <t>Annual Debt Service ($)</t>
        </is>
      </c>
      <c r="C63" s="16">
        <f>Debt!C10</f>
        <v/>
      </c>
      <c r="D63" s="9" t="inlineStr">
        <is>
          <t>—</t>
        </is>
      </c>
      <c r="E63" s="39" t="n"/>
    </row>
    <row r="64" ht="16.5" customHeight="1" s="534">
      <c r="B64" s="10" t="inlineStr">
        <is>
          <t>Debt Tenor  /  Rate</t>
        </is>
      </c>
      <c r="C64" s="11">
        <f>_xlfn.CONCAT(Debt!C9," years / ",TEXT(Debt!C8,"0.0%"))</f>
        <v/>
      </c>
      <c r="D64" s="12" t="inlineStr">
        <is>
          <t>NREL ATB 2024</t>
        </is>
      </c>
      <c r="E64" s="39" t="n"/>
    </row>
    <row r="65" ht="16.5" customHeight="1" s="534">
      <c r="B65" s="23" t="inlineStr">
        <is>
          <t>Minimum DSCR (x)</t>
        </is>
      </c>
      <c r="C65" s="48">
        <f>Debt!C11</f>
        <v/>
      </c>
      <c r="D65" s="36" t="inlineStr">
        <is>
          <t>Covenant: 1.30x</t>
        </is>
      </c>
      <c r="E65" s="37">
        <f>IF(ROUND(C65,2)&gt;=1.3,"✓  At floor","⚠  Below hurdle")</f>
        <v/>
      </c>
    </row>
    <row r="66" ht="16.5" customHeight="1" s="534">
      <c r="B66" s="7" t="inlineStr">
        <is>
          <t>Average DSCR (x)</t>
        </is>
      </c>
      <c r="C66" s="50">
        <f>Debt!C50</f>
        <v/>
      </c>
      <c r="D66" s="9" t="inlineStr">
        <is>
          <t>—</t>
        </is>
      </c>
      <c r="E66" s="39" t="n"/>
    </row>
    <row r="67" ht="16.5" customHeight="1" s="534">
      <c r="B67" s="23" t="inlineStr">
        <is>
          <t>P90 DSCR  Year 1 (x)</t>
        </is>
      </c>
      <c r="C67" s="51">
        <f>Debt!C51</f>
        <v/>
      </c>
      <c r="D67" s="36" t="inlineStr">
        <is>
          <t>Floor: 1.10x</t>
        </is>
      </c>
      <c r="E67" s="37">
        <f>IF(ROUND(C67,2)&gt;=1.1,"✓  Clear","⚠  Below hurdle")</f>
        <v/>
      </c>
    </row>
    <row r="68" ht="9.75" customHeight="1" s="534"/>
    <row r="69" ht="21.75" customHeight="1" s="534">
      <c r="B69" s="524" t="inlineStr">
        <is>
          <t>4  —  Revenue and Cost Breakdown</t>
        </is>
      </c>
      <c r="C69" s="535" t="n"/>
      <c r="D69" s="535" t="n"/>
      <c r="E69" s="535" t="n"/>
      <c r="F69" s="535" t="n"/>
    </row>
    <row r="70" ht="15.75" customHeight="1" s="534">
      <c r="B70" s="525" t="inlineStr">
        <is>
          <t>Year 1 revenue mix and operating cost structure</t>
        </is>
      </c>
    </row>
    <row r="71" ht="18" customHeight="1" s="534">
      <c r="B71" s="529" t="inlineStr">
        <is>
          <t>Year 1 Revenue  ($17,720,254 total)</t>
        </is>
      </c>
    </row>
    <row r="72" ht="18" customHeight="1" s="534" thickBot="1">
      <c r="B72" s="33" t="inlineStr">
        <is>
          <t>Revenue Stream</t>
        </is>
      </c>
      <c r="C72" s="34" t="inlineStr">
        <is>
          <t>Year 1 ($)</t>
        </is>
      </c>
      <c r="D72" s="34" t="inlineStr">
        <is>
          <t>% of Total</t>
        </is>
      </c>
      <c r="E72" s="52" t="inlineStr">
        <is>
          <t>BESS Revenue Detail</t>
        </is>
      </c>
      <c r="F72" s="52" t="n"/>
    </row>
    <row r="73" ht="16.5" customHeight="1" s="534">
      <c r="B73" s="18" t="inlineStr">
        <is>
          <t>Solar Energy Revenue (PPA)</t>
        </is>
      </c>
      <c r="C73" s="19">
        <f>Revenue!C11</f>
        <v/>
      </c>
      <c r="D73" s="53">
        <f>C73/C77</f>
        <v/>
      </c>
      <c r="E73" s="54" t="inlineStr">
        <is>
          <t>Contract: $50/MWh × 223,653 MWh</t>
        </is>
      </c>
    </row>
    <row r="74" ht="16.5" customHeight="1" s="534">
      <c r="B74" s="21" t="inlineStr">
        <is>
          <t>BESS Energy Arbitrage</t>
        </is>
      </c>
      <c r="C74" s="22">
        <f>Revenue!C29</f>
        <v/>
      </c>
      <c r="D74" s="55">
        <f>C74/$C$77</f>
        <v/>
      </c>
      <c r="E74" s="44" t="inlineStr">
        <is>
          <t>$38.48/MWh net spread × 56,466 MWh</t>
        </is>
      </c>
    </row>
    <row r="75" ht="16.5" customHeight="1" s="534">
      <c r="B75" s="21" t="inlineStr">
        <is>
          <t>BESS Resource Adequacy</t>
        </is>
      </c>
      <c r="C75" s="22">
        <f>Revenue!C36</f>
        <v/>
      </c>
      <c r="D75" s="55">
        <f>C75/$C$77</f>
        <v/>
      </c>
      <c r="E75" s="44" t="inlineStr">
        <is>
          <t>45 MW × $6/kW-month × 12</t>
        </is>
      </c>
    </row>
    <row r="76" ht="16.5" customHeight="1" s="534">
      <c r="B76" s="21" t="inlineStr">
        <is>
          <t>BESS Ancillary Services</t>
        </is>
      </c>
      <c r="C76" s="22">
        <f>Revenue!C47</f>
        <v/>
      </c>
      <c r="D76" s="55">
        <f>C76/$C$77</f>
        <v/>
      </c>
      <c r="E76" s="44" t="inlineStr">
        <is>
          <t>15 MW × $75/kW-year</t>
        </is>
      </c>
    </row>
    <row r="77" ht="18" customHeight="1" s="534">
      <c r="B77" s="56" t="inlineStr">
        <is>
          <t>Total Year 1 Revenue</t>
        </is>
      </c>
      <c r="C77" s="57">
        <f>SUM(C73:C76)</f>
        <v/>
      </c>
      <c r="D77" s="58">
        <f>SUM(D73:D76)</f>
        <v/>
      </c>
    </row>
    <row r="78" ht="7.5" customHeight="1" s="534"/>
    <row r="79" ht="18" customHeight="1" s="534">
      <c r="B79" s="529" t="inlineStr">
        <is>
          <t>Year 1 Operating Costs  ($4,480,250 total  /  25.3% of revenue)</t>
        </is>
      </c>
    </row>
    <row r="80" ht="18" customHeight="1" s="534">
      <c r="B80" s="33" t="inlineStr">
        <is>
          <t>Cost Item</t>
        </is>
      </c>
      <c r="C80" s="34" t="inlineStr">
        <is>
          <t>Year 1 ($)</t>
        </is>
      </c>
      <c r="D80" s="34" t="inlineStr">
        <is>
          <t>% of Revenue</t>
        </is>
      </c>
      <c r="E80" s="34" t="n"/>
      <c r="F80" s="34" t="n"/>
    </row>
    <row r="81" ht="16.5" customHeight="1" s="534">
      <c r="B81" s="7" t="inlineStr">
        <is>
          <t>Solar Fixed O&amp;M</t>
        </is>
      </c>
      <c r="C81" s="16">
        <f>Costs!C19</f>
        <v/>
      </c>
      <c r="D81" s="17">
        <f>C81/$C$77</f>
        <v/>
      </c>
    </row>
    <row r="82" ht="16.5" customHeight="1" s="534">
      <c r="B82" s="10" t="inlineStr">
        <is>
          <t>BESS Fixed O&amp;M</t>
        </is>
      </c>
      <c r="C82" s="20">
        <f>Costs!C20</f>
        <v/>
      </c>
      <c r="D82" s="17">
        <f>C82/$C$77</f>
        <v/>
      </c>
    </row>
    <row r="83" ht="16.5" customHeight="1" s="534">
      <c r="B83" s="7" t="inlineStr">
        <is>
          <t>Land Lease</t>
        </is>
      </c>
      <c r="C83" s="16">
        <f>Costs!C21</f>
        <v/>
      </c>
      <c r="D83" s="17">
        <f>C83/$C$77</f>
        <v/>
      </c>
    </row>
    <row r="84" ht="16.5" customHeight="1" s="534">
      <c r="B84" s="10" t="inlineStr">
        <is>
          <t>Insurance</t>
        </is>
      </c>
      <c r="C84" s="20">
        <f>Costs!C22</f>
        <v/>
      </c>
      <c r="D84" s="17">
        <f>C84/$C$77</f>
        <v/>
      </c>
    </row>
    <row r="85" ht="16.5" customHeight="1" s="534">
      <c r="B85" s="7" t="inlineStr">
        <is>
          <t>Asset Management Fee</t>
        </is>
      </c>
      <c r="C85" s="16">
        <f>Costs!C23</f>
        <v/>
      </c>
      <c r="D85" s="17">
        <f>C85/$C$77</f>
        <v/>
      </c>
    </row>
    <row r="86" ht="16.5" customHeight="1" s="534">
      <c r="B86" s="10" t="inlineStr">
        <is>
          <t>Transmission / CAISO Fees</t>
        </is>
      </c>
      <c r="C86" s="20">
        <f>Costs!C24</f>
        <v/>
      </c>
      <c r="D86" s="17">
        <f>C86/$C$77</f>
        <v/>
      </c>
    </row>
    <row r="87" ht="18" customHeight="1" s="534">
      <c r="B87" s="56" t="inlineStr">
        <is>
          <t>Total Year 1 Opex</t>
        </is>
      </c>
      <c r="C87" s="57">
        <f>Costs!C25</f>
        <v/>
      </c>
      <c r="D87" s="58">
        <f>C87/C77</f>
        <v/>
      </c>
    </row>
    <row r="88" ht="18" customHeight="1" s="534">
      <c r="B88" s="25" t="inlineStr">
        <is>
          <t>Year 1 EBITDA</t>
        </is>
      </c>
      <c r="C88" s="26">
        <f>Cashflows!D25</f>
        <v/>
      </c>
      <c r="D88" s="27">
        <f>C88/C77</f>
        <v/>
      </c>
    </row>
    <row r="89" ht="9.75" customHeight="1" s="534"/>
    <row r="90" ht="21.75" customHeight="1" s="534">
      <c r="B90" s="524" t="inlineStr">
        <is>
          <t>5  —  LCOE and Commercial Viability</t>
        </is>
      </c>
      <c r="C90" s="535" t="n"/>
      <c r="D90" s="535" t="n"/>
      <c r="E90" s="535" t="n"/>
      <c r="F90" s="535" t="n"/>
    </row>
    <row r="91" ht="15.75" customHeight="1" s="534">
      <c r="B91" s="525" t="inlineStr">
        <is>
          <t>Levelized cost benchmarking and minimum viable PPA price analysis</t>
        </is>
      </c>
    </row>
    <row r="92" ht="18" customHeight="1" s="534">
      <c r="B92" s="33" t="inlineStr">
        <is>
          <t>Metric</t>
        </is>
      </c>
      <c r="C92" s="34" t="inlineStr">
        <is>
          <t>Value</t>
        </is>
      </c>
      <c r="D92" s="34" t="inlineStr">
        <is>
          <t>Benchmark / Range</t>
        </is>
      </c>
      <c r="E92" s="34" t="inlineStr">
        <is>
          <t>Status</t>
        </is>
      </c>
      <c r="F92" s="34" t="n"/>
    </row>
    <row r="93" ht="16.5" customHeight="1" s="534">
      <c r="B93" s="7" t="inlineStr">
        <is>
          <t>Solar LCOE  ($/MWh)</t>
        </is>
      </c>
      <c r="C93" s="59">
        <f>LCOE!C5</f>
        <v/>
      </c>
      <c r="D93" s="9" t="inlineStr">
        <is>
          <t>Reference only</t>
        </is>
      </c>
      <c r="E93" s="39" t="n"/>
    </row>
    <row r="94" ht="16.5" customHeight="1" s="534">
      <c r="B94" s="47" t="inlineStr">
        <is>
          <t>System LCOE  ($/MWh)</t>
        </is>
      </c>
      <c r="C94" s="60">
        <f>LCOE!C11</f>
        <v/>
      </c>
      <c r="D94" s="36" t="inlineStr">
        <is>
          <t>Lazard v18:  $50–$131/MWh</t>
        </is>
      </c>
      <c r="E94" s="37">
        <f>IF(LCOE!C34="Within range","✓  Within range","⚠  Outside range")</f>
        <v/>
      </c>
    </row>
    <row r="95" ht="16.5" customHeight="1" s="534">
      <c r="B95" s="23" t="inlineStr">
        <is>
          <t>Current PPA Price  ($/MWh)</t>
        </is>
      </c>
      <c r="C95" s="60">
        <f>LCOE!C16</f>
        <v/>
      </c>
      <c r="D95" s="36" t="inlineStr">
        <is>
          <t>LBNL market:  $40–$65/MWh</t>
        </is>
      </c>
      <c r="E95" s="37">
        <f>IF(AND(C95&gt;=40,C95&lt;=65),"✓  Within market","⚠  Outside range")</f>
        <v/>
      </c>
    </row>
    <row r="96" ht="16.5" customHeight="1" s="534">
      <c r="B96" s="47" t="inlineStr">
        <is>
          <t>Min Viable PPA Price  ($/MWh)</t>
        </is>
      </c>
      <c r="C96" s="60">
        <f>LCOE!C25</f>
        <v/>
      </c>
      <c r="D96" s="36" t="inlineStr">
        <is>
          <t>LBNL market:  $40–$65/MWh</t>
        </is>
      </c>
      <c r="E96" s="37">
        <f>IF(AND(C96&gt;=40,C96&lt;=65),"✓  Achievable","⚠  Outside range")</f>
        <v/>
      </c>
    </row>
    <row r="97" ht="16.5" customHeight="1" s="534">
      <c r="B97" s="45" t="inlineStr">
        <is>
          <t>Gap to 12% Equity IRR Target</t>
        </is>
      </c>
      <c r="C97" s="61">
        <f>LCOE!C21</f>
        <v/>
      </c>
      <c r="D97" s="42" t="inlineStr">
        <is>
          <t>Requires +$5.42/MWh on PPA</t>
        </is>
      </c>
      <c r="E97" s="37">
        <f>IF(C97&gt;=0.12,"✓  Accretive", "⚠  Below target")</f>
        <v/>
      </c>
    </row>
    <row r="98" ht="9.75" customHeight="1" s="534"/>
    <row r="99" ht="21.75" customHeight="1" s="534">
      <c r="B99" s="524" t="inlineStr">
        <is>
          <t>6  —  Key Assumptions Reference</t>
        </is>
      </c>
      <c r="C99" s="535" t="n"/>
      <c r="D99" s="535" t="n"/>
      <c r="E99" s="535" t="n"/>
      <c r="F99" s="535" t="n"/>
    </row>
    <row r="100" ht="15.75" customHeight="1" s="534">
      <c r="B100" s="525" t="inlineStr">
        <is>
          <t>All assumptions sourced — see INPUTS tab for full citation detail</t>
        </is>
      </c>
    </row>
    <row r="101" ht="18" customHeight="1" s="534">
      <c r="B101" s="62" t="inlineStr">
        <is>
          <t>Resource</t>
        </is>
      </c>
      <c r="C101" s="63" t="inlineStr">
        <is>
          <t>Value</t>
        </is>
      </c>
      <c r="D101" s="64" t="inlineStr">
        <is>
          <t>Source</t>
        </is>
      </c>
      <c r="E101" s="531" t="n"/>
    </row>
    <row r="102" ht="15.75" customHeight="1" s="534">
      <c r="B102" s="18" t="inlineStr">
        <is>
          <t>P50 Capacity Factor</t>
        </is>
      </c>
      <c r="C102" s="65">
        <f>_xlfn.CONCAT(TEXT(Inputs!D13, "0%")," (AC basis)")</f>
        <v/>
      </c>
      <c r="D102" s="54" t="inlineStr">
        <is>
          <t>NREL NSRDB / SAM — SP15</t>
        </is>
      </c>
      <c r="E102" s="66" t="n"/>
    </row>
    <row r="103" ht="15.75" customHeight="1" s="534">
      <c r="B103" s="10" t="inlineStr">
        <is>
          <t>P90 Capacity Factor</t>
        </is>
      </c>
      <c r="C103" s="67">
        <f>_xlfn.CONCAT(TEXT(Inputs!D14, "0%")," (AC basis)")</f>
        <v/>
      </c>
      <c r="D103" s="12" t="inlineStr">
        <is>
          <t>NREL NSRDB</t>
        </is>
      </c>
      <c r="E103" s="68" t="n"/>
    </row>
    <row r="104" ht="15.75" customHeight="1" s="534">
      <c r="B104" s="18" t="inlineStr">
        <is>
          <t>Solar Degradation</t>
        </is>
      </c>
      <c r="C104" s="65">
        <f>_xlfn.CONCAT(TEXT(Inputs!D15,"0.0%")," / year")</f>
        <v/>
      </c>
      <c r="D104" s="54" t="inlineStr">
        <is>
          <t>NREL PV Reliability Roadmap</t>
        </is>
      </c>
      <c r="E104" s="66" t="n"/>
    </row>
    <row r="105" ht="15.75" customHeight="1" s="534">
      <c r="B105" s="10" t="inlineStr">
        <is>
          <t>BESS Degradation</t>
        </is>
      </c>
      <c r="C105" s="67">
        <f>_xlfn.CONCAT(TEXT(Inputs!D26,"0.0%")," / year")</f>
        <v/>
      </c>
      <c r="D105" s="12" t="inlineStr">
        <is>
          <t>NREL ATB 2024</t>
        </is>
      </c>
      <c r="E105" s="68" t="n"/>
    </row>
    <row r="106" ht="15.75" customHeight="1" s="534">
      <c r="B106" s="18" t="inlineStr">
        <is>
          <t>BESS Cycles / Day</t>
        </is>
      </c>
      <c r="C106" s="65">
        <f>Inputs!D24</f>
        <v/>
      </c>
      <c r="D106" s="54" t="inlineStr">
        <is>
          <t>Simplified dispatch assumption</t>
        </is>
      </c>
      <c r="E106" s="66" t="n"/>
    </row>
    <row r="107" ht="15.75" customHeight="1" s="534">
      <c r="B107" s="10" t="inlineStr">
        <is>
          <t>Curtailment Rate</t>
        </is>
      </c>
      <c r="C107" s="490">
        <f>Inputs!D17</f>
        <v/>
      </c>
      <c r="D107" s="12" t="inlineStr">
        <is>
          <t>LBNL Utility-Scale Solar 2024</t>
        </is>
      </c>
      <c r="E107" s="68" t="n"/>
    </row>
    <row r="108" ht="15.75" customHeight="1" s="534">
      <c r="B108" s="18" t="inlineStr">
        <is>
          <t>BESS Round-Trip Eff.</t>
        </is>
      </c>
      <c r="C108" s="488">
        <f>Inputs!D25</f>
        <v/>
      </c>
      <c r="D108" s="54" t="inlineStr">
        <is>
          <t>Standard Li-ion assumption</t>
        </is>
      </c>
      <c r="E108" s="66" t="n"/>
    </row>
    <row r="109" ht="18" customHeight="1" s="534">
      <c r="B109" s="62" t="inlineStr">
        <is>
          <t>Costs</t>
        </is>
      </c>
      <c r="C109" s="63" t="inlineStr">
        <is>
          <t>Value</t>
        </is>
      </c>
      <c r="D109" s="64" t="inlineStr">
        <is>
          <t>Source</t>
        </is>
      </c>
      <c r="E109" s="531" t="n"/>
    </row>
    <row r="110" ht="15.75" customHeight="1" s="534">
      <c r="B110" s="21" t="inlineStr">
        <is>
          <t>Solar EPC</t>
        </is>
      </c>
      <c r="C110" s="69">
        <f>_xlfn.CONCAT(TEXT(Inputs!D51,"$0.00"),"/Wdc")</f>
        <v/>
      </c>
      <c r="D110" s="44" t="inlineStr">
        <is>
          <t>NREL ATB 2024 (California adj.)</t>
        </is>
      </c>
      <c r="E110" s="70" t="n"/>
    </row>
    <row r="111" ht="15.75" customHeight="1" s="534">
      <c r="B111" s="10" t="inlineStr">
        <is>
          <t>BESS EPC</t>
        </is>
      </c>
      <c r="C111" s="67">
        <f>_xlfn.CONCAT(TEXT(Inputs!D52,"$0"),"/kWh")</f>
        <v/>
      </c>
      <c r="D111" s="12" t="inlineStr">
        <is>
          <t>NREL ATB 2024 / 2024 market data</t>
        </is>
      </c>
      <c r="E111" s="68" t="n"/>
    </row>
    <row r="112" ht="15.75" customHeight="1" s="534">
      <c r="B112" s="21" t="inlineStr">
        <is>
          <t>Interconnection</t>
        </is>
      </c>
      <c r="C112" s="69">
        <f>TEXT(Inputs!D53,"$0")&amp;"M"</f>
        <v/>
      </c>
      <c r="D112" s="44" t="inlineStr">
        <is>
          <t>Developer assumption — wide uncertainty</t>
        </is>
      </c>
      <c r="E112" s="70" t="n"/>
    </row>
    <row r="113" ht="15.75" customHeight="1" s="534">
      <c r="B113" s="10" t="inlineStr">
        <is>
          <t>Opex Escalator</t>
        </is>
      </c>
      <c r="C113" s="67">
        <f>_xlfn.CONCAT(TEXT(Inputs!D65,"0.0%")," / year")</f>
        <v/>
      </c>
      <c r="D113" s="12" t="inlineStr">
        <is>
          <t>Inflation proxy</t>
        </is>
      </c>
      <c r="E113" s="68" t="n"/>
    </row>
    <row r="114" ht="18" customHeight="1" s="534">
      <c r="B114" s="62" t="inlineStr">
        <is>
          <t>Revenue</t>
        </is>
      </c>
      <c r="C114" s="63" t="inlineStr">
        <is>
          <t>Value</t>
        </is>
      </c>
      <c r="D114" s="64" t="inlineStr">
        <is>
          <t>Source</t>
        </is>
      </c>
      <c r="E114" s="531" t="n"/>
    </row>
    <row r="115" ht="15.75" customHeight="1" s="534">
      <c r="B115" s="23" t="inlineStr">
        <is>
          <t>PPA Price Year 1</t>
        </is>
      </c>
      <c r="C115" s="71">
        <f>_xlfn.CONCAT(TEXT(Inputs!D30,"$0"),"/MWh")</f>
        <v/>
      </c>
      <c r="D115" s="36" t="inlineStr">
        <is>
          <t>LBNL Utility-Scale Solar 2024</t>
        </is>
      </c>
      <c r="E115" s="72" t="n"/>
    </row>
    <row r="116" ht="15.75" customHeight="1" s="534">
      <c r="B116" s="10" t="inlineStr">
        <is>
          <t>PPA Escalator</t>
        </is>
      </c>
      <c r="C116" s="67">
        <f>_xlfn.CONCAT(TEXT(Inputs!D31,"0.0%")," / year")</f>
        <v/>
      </c>
      <c r="D116" s="12" t="inlineStr">
        <is>
          <t>Market convention</t>
        </is>
      </c>
      <c r="E116" s="68" t="n"/>
    </row>
    <row r="117" ht="15.75" customHeight="1" s="534">
      <c r="B117" s="23" t="inlineStr">
        <is>
          <t>PPA Term</t>
        </is>
      </c>
      <c r="C117" s="71">
        <f>Inputs!D32&amp;" years"</f>
        <v/>
      </c>
      <c r="D117" s="36" t="inlineStr">
        <is>
          <t>Market convention</t>
        </is>
      </c>
      <c r="E117" s="72" t="n"/>
    </row>
    <row r="118" ht="15.75" customHeight="1" s="534">
      <c r="B118" s="10" t="inlineStr">
        <is>
          <t>Merchant Price</t>
        </is>
      </c>
      <c r="C118" s="67">
        <f>_xlfn.CONCAT(TEXT(Inputs!D33,"$0"),"/MWh flat real")</f>
        <v/>
      </c>
      <c r="D118" s="12" t="inlineStr">
        <is>
          <t>Conservative assumption</t>
        </is>
      </c>
      <c r="E118" s="68" t="n"/>
    </row>
    <row r="119" ht="15.75" customHeight="1" s="534">
      <c r="B119" s="23" t="inlineStr">
        <is>
          <t>BESS Discharge Price</t>
        </is>
      </c>
      <c r="C119" s="71">
        <f>_xlfn.CONCAT(TEXT(Inputs!D35,"$0"),"/MWh Year 1  (1.5%/yr)")</f>
        <v/>
      </c>
      <c r="D119" s="36" t="inlineStr">
        <is>
          <t>SP15 evening peak proxy</t>
        </is>
      </c>
      <c r="E119" s="72" t="n"/>
    </row>
    <row r="120" ht="15.75" customHeight="1" s="534">
      <c r="B120" s="10" t="inlineStr">
        <is>
          <t>Grid Purchase Price</t>
        </is>
      </c>
      <c r="C120" s="67">
        <f>_xlfn.CONCAT(TEXT(Inputs!D37,"$0"),"/MWh Year 1  (1.0%/yr)")</f>
        <v/>
      </c>
      <c r="D120" s="12" t="inlineStr">
        <is>
          <t>SP15 off-peak proxy</t>
        </is>
      </c>
      <c r="E120" s="68" t="n"/>
    </row>
    <row r="121" ht="15.75" customHeight="1" s="534">
      <c r="B121" s="23" t="inlineStr">
        <is>
          <t>RA Price</t>
        </is>
      </c>
      <c r="C121" s="71">
        <f>_xlfn.CONCAT(TEXT(Inputs!D42,"$0"),"/kW-month  (2.0%/yr)")</f>
        <v/>
      </c>
      <c r="D121" s="36" t="inlineStr">
        <is>
          <t>CPUC RA proceedings</t>
        </is>
      </c>
      <c r="E121" s="72" t="n"/>
    </row>
    <row r="122" ht="15.75" customHeight="1" s="534">
      <c r="B122" s="10" t="inlineStr">
        <is>
          <t>RA Accreditation</t>
        </is>
      </c>
      <c r="C122" s="67">
        <f>_xlfn.CONCAT(Inputs!D41," MW"," (",TEXT(Inputs!D41/Inputs!D22,"0%")," of nameplate)")</f>
        <v/>
      </c>
      <c r="D122" s="12" t="inlineStr">
        <is>
          <t>CAISO ELCC methodology</t>
        </is>
      </c>
      <c r="E122" s="68" t="n"/>
    </row>
    <row r="123" ht="15.75" customHeight="1" s="534">
      <c r="B123" s="23" t="inlineStr">
        <is>
          <t>Ancillary Services</t>
        </is>
      </c>
      <c r="C123" s="71">
        <f>_xlfn.CONCAT(TEXT(Inputs!D45,"$0"),"kW-year  (1.5%/yr)")</f>
        <v/>
      </c>
      <c r="D123" s="36" t="inlineStr">
        <is>
          <t>CAISO market — regulation + FRP</t>
        </is>
      </c>
      <c r="E123" s="72" t="n"/>
    </row>
    <row r="124" ht="18" customHeight="1" s="534">
      <c r="B124" s="62" t="inlineStr">
        <is>
          <t>Tax</t>
        </is>
      </c>
      <c r="C124" s="63" t="inlineStr">
        <is>
          <t>Value</t>
        </is>
      </c>
      <c r="D124" s="64" t="inlineStr">
        <is>
          <t>Source</t>
        </is>
      </c>
      <c r="E124" s="531" t="n"/>
    </row>
    <row r="125" ht="15.75" customHeight="1" s="534">
      <c r="B125" s="45" t="inlineStr">
        <is>
          <t>Credit Election</t>
        </is>
      </c>
      <c r="C125" s="73">
        <f>IF(Inputs!D79="ITC","ITC — Section 48E","PTC — Section 45Y")</f>
        <v/>
      </c>
      <c r="D125" s="42">
        <f>IF(Inputs!D79="ITC","IRA Section 48E","IRA Section 45Y")</f>
        <v/>
      </c>
      <c r="E125" s="74" t="n"/>
    </row>
    <row r="126" ht="15.75" customHeight="1" s="534">
      <c r="B126" s="10" t="inlineStr">
        <is>
          <t>Credit Rate</t>
        </is>
      </c>
      <c r="C126" s="67">
        <f>IF(Inputs!D79="ITC",_xlfn.CONCAT(TEXT(Inputs!D87,"0%"),"  (PWA compliant)"),_xlfn.CONCAT(TEXT(Inputs!D82,"$0"),"  (PWA compliant)"))</f>
        <v/>
      </c>
      <c r="D126" s="12">
        <f>IF(Inputs!D79="ITC","IRA Section 48E","IRA Section 45Y")</f>
        <v/>
      </c>
      <c r="E126" s="68" t="n"/>
    </row>
    <row r="127" ht="15.75" customHeight="1" s="534">
      <c r="B127" s="45" t="inlineStr">
        <is>
          <t>Transfer Price</t>
        </is>
      </c>
      <c r="C127" s="73">
        <f>IF(Inputs!D79="ITC",_xlfn.CONCAT(Inputs!D88*100,"¢ per dollar"),_xlfn.CONCAT(Inputs!D83*100,"¢ per dollar"))</f>
        <v/>
      </c>
      <c r="D127" s="42" t="inlineStr">
        <is>
          <t>Norton Rose 2024</t>
        </is>
      </c>
      <c r="E127" s="74" t="n"/>
    </row>
    <row r="128" ht="15.75" customHeight="1" s="534">
      <c r="B128" s="10" t="inlineStr">
        <is>
          <t>MACRS Schedule</t>
        </is>
      </c>
      <c r="C128" s="67">
        <f>Inputs!D91&amp;" years"</f>
        <v/>
      </c>
      <c r="D128" s="12" t="inlineStr">
        <is>
          <t>IRS Publication 946</t>
        </is>
      </c>
      <c r="E128" s="68" t="n"/>
    </row>
    <row r="129" ht="15.75" customHeight="1" s="534">
      <c r="B129" s="45" t="inlineStr">
        <is>
          <t>Corporate Tax Rate</t>
        </is>
      </c>
      <c r="C129" s="491">
        <f>Inputs!D89</f>
        <v/>
      </c>
      <c r="D129" s="42" t="inlineStr">
        <is>
          <t>Tax Cuts and Jobs Act 2017</t>
        </is>
      </c>
      <c r="E129" s="74" t="n"/>
    </row>
    <row r="130" ht="18" customHeight="1" s="534">
      <c r="B130" s="62" t="inlineStr">
        <is>
          <t>Financing</t>
        </is>
      </c>
      <c r="C130" s="63" t="inlineStr">
        <is>
          <t>Value</t>
        </is>
      </c>
      <c r="D130" s="64" t="inlineStr">
        <is>
          <t>Source</t>
        </is>
      </c>
      <c r="E130" s="531" t="n"/>
    </row>
    <row r="131" ht="15.75" customHeight="1" s="534">
      <c r="B131" s="7" t="inlineStr">
        <is>
          <t>Debt Interest Rate</t>
        </is>
      </c>
      <c r="C131" s="75">
        <f>_xlfn.CONCAT(TEXT(Inputs!D101,"0.0%"),"  (nominal)")</f>
        <v/>
      </c>
      <c r="D131" s="9" t="inlineStr">
        <is>
          <t>NREL ATB 2024 + 2.5% inflation</t>
        </is>
      </c>
      <c r="E131" s="76" t="n"/>
    </row>
    <row r="132" ht="15.75" customHeight="1" s="534">
      <c r="B132" s="10" t="inlineStr">
        <is>
          <t>Debt Tenor</t>
        </is>
      </c>
      <c r="C132" s="67">
        <f>Inputs!D71&amp;" years"</f>
        <v/>
      </c>
      <c r="D132" s="12" t="inlineStr">
        <is>
          <t>Market convention</t>
        </is>
      </c>
      <c r="E132" s="68" t="n"/>
    </row>
    <row r="133" ht="15.75" customHeight="1" s="534">
      <c r="B133" s="7" t="inlineStr">
        <is>
          <t>Min DSCR Covenant</t>
        </is>
      </c>
      <c r="C133" s="75">
        <f>Inputs!D69&amp;"x"</f>
        <v/>
      </c>
      <c r="D133" s="9" t="inlineStr">
        <is>
          <t>Market convention</t>
        </is>
      </c>
      <c r="E133" s="76" t="n"/>
    </row>
    <row r="134" ht="15.75" customHeight="1" s="534">
      <c r="B134" s="10" t="inlineStr">
        <is>
          <t>Max Leverage</t>
        </is>
      </c>
      <c r="C134" s="489">
        <f>Inputs!D73</f>
        <v/>
      </c>
      <c r="D134" s="12" t="inlineStr">
        <is>
          <t>Market convention</t>
        </is>
      </c>
      <c r="E134" s="68" t="n"/>
    </row>
    <row r="135" ht="15.75" customHeight="1" s="534">
      <c r="B135" s="7" t="inlineStr">
        <is>
          <t>Project Discount Rate</t>
        </is>
      </c>
      <c r="C135" s="492">
        <f>Inputs!D101</f>
        <v/>
      </c>
      <c r="D135" s="9" t="inlineStr">
        <is>
          <t>NREL ATB 2024 Financial Cases</t>
        </is>
      </c>
      <c r="E135" s="76" t="n"/>
    </row>
    <row r="136" ht="15.75" customHeight="1" s="534">
      <c r="B136" s="10" t="inlineStr">
        <is>
          <t>Target Equity IRR</t>
        </is>
      </c>
      <c r="C136" s="490">
        <f>Inputs!D102</f>
        <v/>
      </c>
      <c r="D136" s="12" t="inlineStr">
        <is>
          <t>Developer return threshold</t>
        </is>
      </c>
      <c r="E136" s="68" t="n"/>
    </row>
    <row r="137" ht="9.75" customHeight="1" s="534"/>
    <row r="138" ht="39.75" customHeight="1" s="534">
      <c r="B138" s="526" t="inlineStr">
        <is>
          <t>⚠  Note on Tax Credit Election:  Model elects ITC per INPUTS tab.  TAX tab Block 4 comparison shows PTC is the NPV-optimal election (PTC total value $74.9M vs. ITC $69.9M).  ITC is modeled to demonstrate upfront cash proceeds mechanics.  See TAX tab for full comparison.</t>
        </is>
      </c>
      <c r="C138" s="597" t="n"/>
      <c r="D138" s="597" t="n"/>
      <c r="E138" s="597" t="n"/>
      <c r="F138" s="598" t="n"/>
    </row>
    <row r="139" ht="9.75" customHeight="1" s="534"/>
    <row r="140" ht="3" customHeight="1" s="534">
      <c r="A140" s="527" t="n"/>
    </row>
    <row r="141" ht="27.75" customHeight="1" s="534">
      <c r="A141" s="528" t="inlineStr">
        <is>
          <t>All values are model outputs and for illustrative purposes only.  Sources: NREL ATB 2024 · Lazard LCOE v18.0 (2025) · LBNL Utility-Scale Solar 2024 · FERC Energy Primer 2024 · Norton Rose Tax Equity Outlook 2024 · IRS Publication 946  ·  Model version 1.0  ·  Last updated: April 2026</t>
        </is>
      </c>
    </row>
  </sheetData>
  <mergeCells count="25">
    <mergeCell ref="B138:F138"/>
    <mergeCell ref="A141:G141"/>
    <mergeCell ref="B7:F7"/>
    <mergeCell ref="B91:F91"/>
    <mergeCell ref="B100:F100"/>
    <mergeCell ref="A140:G140"/>
    <mergeCell ref="B90:F90"/>
    <mergeCell ref="B3:F3"/>
    <mergeCell ref="A4:G4"/>
    <mergeCell ref="B59:F59"/>
    <mergeCell ref="B22:F22"/>
    <mergeCell ref="B71:F71"/>
    <mergeCell ref="B70:F70"/>
    <mergeCell ref="B39:F39"/>
    <mergeCell ref="B2:F2"/>
    <mergeCell ref="B23:F23"/>
    <mergeCell ref="A1:G1"/>
    <mergeCell ref="B69:F69"/>
    <mergeCell ref="B99:F99"/>
    <mergeCell ref="B40:F40"/>
    <mergeCell ref="B49:F49"/>
    <mergeCell ref="B6:F6"/>
    <mergeCell ref="B79:F79"/>
    <mergeCell ref="B41:F41"/>
    <mergeCell ref="A5:G5"/>
  </mergeCells>
  <conditionalFormatting sqref="B52:D52">
    <cfRule type="expression" priority="12" dxfId="0">
      <formula>$C$52&gt;0</formula>
    </cfRule>
  </conditionalFormatting>
  <conditionalFormatting sqref="B43:E43">
    <cfRule type="expression" priority="21" dxfId="1">
      <formula>$C$43&lt;0.07</formula>
    </cfRule>
    <cfRule type="expression" priority="22" dxfId="0">
      <formula>$C$43&gt;0.07</formula>
    </cfRule>
  </conditionalFormatting>
  <conditionalFormatting sqref="B44:E44">
    <cfRule type="expression" priority="19" dxfId="1">
      <formula>$C$44&lt;=0</formula>
    </cfRule>
    <cfRule type="expression" priority="20" dxfId="0">
      <formula>$C$44&gt;0</formula>
    </cfRule>
  </conditionalFormatting>
  <conditionalFormatting sqref="B50:E50">
    <cfRule type="expression" priority="13" dxfId="0">
      <formula>$C$50&gt;=0.12</formula>
    </cfRule>
    <cfRule type="expression" priority="16" dxfId="1">
      <formula>$C$50&lt;0.12</formula>
    </cfRule>
  </conditionalFormatting>
  <conditionalFormatting sqref="B53:E53">
    <cfRule type="expression" priority="10" dxfId="1">
      <formula>$C$53&lt;2</formula>
    </cfRule>
  </conditionalFormatting>
  <conditionalFormatting sqref="C37">
    <cfRule type="cellIs" priority="25" operator="lessThan" dxfId="16">
      <formula>0</formula>
    </cfRule>
    <cfRule type="cellIs" priority="26" operator="greaterThan" dxfId="16">
      <formula>0</formula>
    </cfRule>
    <cfRule type="cellIs" priority="27" operator="equal" dxfId="15">
      <formula>0</formula>
    </cfRule>
  </conditionalFormatting>
  <conditionalFormatting sqref="D37">
    <cfRule type="cellIs" priority="23" operator="notEqual" dxfId="14">
      <formula>"✓  Capital stack closes"</formula>
    </cfRule>
    <cfRule type="cellIs" priority="24" operator="equal" dxfId="13">
      <formula>"✓  Capital stack closes"</formula>
    </cfRule>
  </conditionalFormatting>
  <conditionalFormatting sqref="E43">
    <cfRule type="expression" priority="14" dxfId="3">
      <formula>$C$43&lt;0.07</formula>
    </cfRule>
  </conditionalFormatting>
  <conditionalFormatting sqref="E50">
    <cfRule type="expression" priority="15" dxfId="3">
      <formula>$C$50&lt;0.12</formula>
    </cfRule>
    <cfRule type="expression" priority="17" dxfId="1">
      <formula>$C$43&lt;0.07</formula>
    </cfRule>
    <cfRule type="expression" priority="18" dxfId="0">
      <formula>$C$43&gt;0.07</formula>
    </cfRule>
  </conditionalFormatting>
  <conditionalFormatting sqref="E52">
    <cfRule type="expression" priority="6" dxfId="3">
      <formula>$C$52&lt;0</formula>
    </cfRule>
    <cfRule type="expression" priority="7" dxfId="1">
      <formula>$C$44&lt;=0</formula>
    </cfRule>
    <cfRule type="expression" priority="8" dxfId="0">
      <formula>$C$44&gt;0</formula>
    </cfRule>
  </conditionalFormatting>
  <conditionalFormatting sqref="E54">
    <cfRule type="expression" priority="9" dxfId="1">
      <formula>$C$53&lt;2</formula>
    </cfRule>
  </conditionalFormatting>
  <conditionalFormatting sqref="E97">
    <cfRule type="expression" priority="1" dxfId="0">
      <formula>$C$50&gt;=0.12</formula>
    </cfRule>
    <cfRule type="expression" priority="2" dxfId="3">
      <formula>$C$50&lt;0.12</formula>
    </cfRule>
    <cfRule type="expression" priority="3" dxfId="1">
      <formula>$C$50&lt;0.12</formula>
    </cfRule>
    <cfRule type="expression" priority="4" dxfId="1">
      <formula>$C$43&lt;0.07</formula>
    </cfRule>
    <cfRule type="expression" priority="5" dxfId="0">
      <formula>$C$43&gt;0.07</formula>
    </cfRule>
  </conditionalFormatting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Tyler Steffensen</dc:creator>
  <dc:language xmlns:dc="http://purl.org/dc/elements/1.1/">en-US</dc:language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2026-08-24T23:13:53Z</dcterms:modified>
  <cp:lastModifiedBy>Tyler Steffensen</cp:lastModifiedBy>
  <cp:revision>0</cp:revision>
</cp:coreProperties>
</file>